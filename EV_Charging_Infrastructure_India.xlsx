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OCM_Raw_Data" sheetId="2" state="visible" r:id="rId4"/>
    <sheet name="State_Summary" sheetId="3" state="visible" r:id="rId5"/>
    <sheet name="Official_vs_Crowdsourced" sheetId="4" state="visible" r:id="rId6"/>
    <sheet name="Demand_Supply_Gap" sheetId="5" state="visible" r:id="rId7"/>
    <sheet name="Recommendation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<sst xmlns="http://schemas.openxmlformats.org/spreadsheetml/2006/main" count="5998" uniqueCount="1791">
  <si>
    <t xml:space="preserve">India EV Charging Infrastructure Intelligence</t>
  </si>
  <si>
    <t xml:space="preserve">Data-driven analysis of public charging coverage, station density, and demand-supply mismatch across Indian states</t>
  </si>
  <si>
    <t xml:space="preserve">SHEETS IN THIS WORKBOOK</t>
  </si>
  <si>
    <t xml:space="preserve">1. README — this page</t>
  </si>
  <si>
    <t xml:space="preserve">2. OCM_Raw_Data — 1,179 geolocated public charging sites in India, sourced from OpenChargeMap (OCM) via the Open Charge Map API, filtered from a 242,417-site global dataset</t>
  </si>
  <si>
    <t xml:space="preserve">3. State_Summary — station counts, ports, avg power, fast-DC share by state (computed from OCM raw data)</t>
  </si>
  <si>
    <t xml:space="preserve">4. Official_vs_Crowdsourced — official Ministry of Power/PIB station counts benchmarked against OCM's crowdsourced coverage, by state</t>
  </si>
  <si>
    <t xml:space="preserve">5. Demand_Supply_Gap — EV sales volumes vs charging stations, by state, with a stations-per-vehicle stress metric</t>
  </si>
  <si>
    <t xml:space="preserve">6. Recommendations — expansion priority scoring by state</t>
  </si>
  <si>
    <t xml:space="preserve">DATA SOURCES (all real, publicly available, cited)</t>
  </si>
  <si>
    <t xml:space="preserve">- OpenChargeMap.org / Open Charge Map API (CC BY-SA 4.0) — geolocated station data, accessed via github.com/tarekmasryo/global-ev-infra-dataset</t>
  </si>
  <si>
    <t xml:space="preserve">- Press Information Bureau, Govt of India, Ministry of Heavy Industries, 08-Aug-2025 (PRID 2154127) — official national + top-7-state EVCS counts</t>
  </si>
  <si>
    <t xml:space="preserve">- PIB / Ministry of Road Transport &amp; Highways e-Vahan portal (PRID 2101635) — cumulative national EV registrations</t>
  </si>
  <si>
    <t xml:space="preserve">- Industry reporting (Deccan Herald / FADA / IESA Vahan-based) — state EV sales volumes, cross-checked against Vahan-derived figures</t>
  </si>
  <si>
    <t xml:space="preserve">KNOWN DATA LIMITATIONS (read before presenting this to anyone technical)</t>
  </si>
  <si>
    <t xml:space="preserve">- OCM is a crowdsourced/volunteer-maintained database. It captures only ~1,179 of India's 29,277 official public charging stations (~4% nationally) — coverage is highly uneven; Kerala and Karnataka are over-represented because of local contributor activity, not because they have proportionally more real infrastructure relative to other leading states.</t>
  </si>
  <si>
    <t xml:space="preserve">- Because of this, OCM data should NOT be read as 'these are all the stations in India.' It is used here for what it's actually good for: precise lat/long, port counts, and power ratings at the sites that ARE mapped — i.e. site-level and spatial analysis, not national totals.</t>
  </si>
  <si>
    <t xml:space="preserve">- National totals and state rankings in this workbook use the OFFICIAL PIB figures, not OCM counts.</t>
  </si>
  <si>
    <t xml:space="preserve">- One raw OCM record (SRM Institute, Chennai) had an obviously corrupted power rating (1,000,000 kW at a 1-port site) — excluded from power averages; flagged in OCM_Raw_Data.</t>
  </si>
  <si>
    <t xml:space="preserve">- 10 of 1,189 raw India rows had unresolvable/garbled state labels and were dropped.</t>
  </si>
  <si>
    <t xml:space="preserve">- EV sales figures are only available for the 3 states with recent public reporting (Karnataka, Maharashtra, Uttar Pradesh) at the time of writing — this workbook does NOT fabricate numbers for states without a citable source. Blank cells are blank on purpose.</t>
  </si>
  <si>
    <t xml:space="preserve">id</t>
  </si>
  <si>
    <t xml:space="preserve">name</t>
  </si>
  <si>
    <t xml:space="preserve">city</t>
  </si>
  <si>
    <t xml:space="preserve">state</t>
  </si>
  <si>
    <t xml:space="preserve">country_code</t>
  </si>
  <si>
    <t xml:space="preserve">latitude</t>
  </si>
  <si>
    <t xml:space="preserve">longitude</t>
  </si>
  <si>
    <t xml:space="preserve">ports</t>
  </si>
  <si>
    <t xml:space="preserve">power_kw</t>
  </si>
  <si>
    <t xml:space="preserve">power_class</t>
  </si>
  <si>
    <t xml:space="preserve">is_fast_dc</t>
  </si>
  <si>
    <t xml:space="preserve">Hotel Kantara Dine</t>
  </si>
  <si>
    <t xml:space="preserve">Solur</t>
  </si>
  <si>
    <t xml:space="preserve">Karnataka</t>
  </si>
  <si>
    <t xml:space="preserve">IN</t>
  </si>
  <si>
    <t xml:space="preserve">AC_HIGH_(22-49kW)</t>
  </si>
  <si>
    <t xml:space="preserve">Burger King</t>
  </si>
  <si>
    <t xml:space="preserve">Udayapura</t>
  </si>
  <si>
    <t xml:space="preserve">DC_FAST_(50-149kW)</t>
  </si>
  <si>
    <t xml:space="preserve">Konnagar</t>
  </si>
  <si>
    <t xml:space="preserve">Kolkata</t>
  </si>
  <si>
    <t xml:space="preserve">West Bengal</t>
  </si>
  <si>
    <t xml:space="preserve">UNKNOWN</t>
  </si>
  <si>
    <t xml:space="preserve">Tata.ev Luxon Motors - Tata Power</t>
  </si>
  <si>
    <t xml:space="preserve">Edappally</t>
  </si>
  <si>
    <t xml:space="preserve">Kerala</t>
  </si>
  <si>
    <t xml:space="preserve">TML Sree Gokulam Motors - Tata Power</t>
  </si>
  <si>
    <t xml:space="preserve">Tata.ev Gokulam Motors - Tata Power</t>
  </si>
  <si>
    <t xml:space="preserve">Choornikkara</t>
  </si>
  <si>
    <t xml:space="preserve">Taj Cochin Internation Airport Hotel - Tata Power</t>
  </si>
  <si>
    <t xml:space="preserve">Nedumbassery</t>
  </si>
  <si>
    <t xml:space="preserve">SAJ Earth Resort - Tata Power</t>
  </si>
  <si>
    <t xml:space="preserve">Luxon Motors - Tata Power</t>
  </si>
  <si>
    <t xml:space="preserve">Kariyad</t>
  </si>
  <si>
    <t xml:space="preserve">Sree Gokulam Motors - Tata Power</t>
  </si>
  <si>
    <t xml:space="preserve">Angamaly</t>
  </si>
  <si>
    <t xml:space="preserve">Centro Mall Charging Station - Tata Power</t>
  </si>
  <si>
    <t xml:space="preserve">Kodungallur</t>
  </si>
  <si>
    <t xml:space="preserve">IOCL Thiruvonam Fuels - Tata Power</t>
  </si>
  <si>
    <t xml:space="preserve">Palakkad</t>
  </si>
  <si>
    <t xml:space="preserve">KVR Automotive - Tata Power</t>
  </si>
  <si>
    <t xml:space="preserve">Koppam</t>
  </si>
  <si>
    <t xml:space="preserve">Gokulam Residency - Tata Power</t>
  </si>
  <si>
    <t xml:space="preserve">Amballur</t>
  </si>
  <si>
    <t xml:space="preserve">Tata.ev Hyson Motors - Tata Power</t>
  </si>
  <si>
    <t xml:space="preserve">Thrissur</t>
  </si>
  <si>
    <t xml:space="preserve">PCK Centenary</t>
  </si>
  <si>
    <t xml:space="preserve">TML Hyson Motors - Tata Power</t>
  </si>
  <si>
    <t xml:space="preserve">Hotel Gokulam Sabari - Tata Power</t>
  </si>
  <si>
    <t xml:space="preserve">Guruvayur</t>
  </si>
  <si>
    <t xml:space="preserve">Shirdi</t>
  </si>
  <si>
    <t xml:space="preserve">Maharashtra</t>
  </si>
  <si>
    <t xml:space="preserve">InFour Wheel Care And Tyres - Tata Power</t>
  </si>
  <si>
    <t xml:space="preserve">Perinthalmanna</t>
  </si>
  <si>
    <t xml:space="preserve">TML KVR Automotive - Tata Power</t>
  </si>
  <si>
    <t xml:space="preserve">IOCL Sigma Enterprises Charging Station - Tata Power</t>
  </si>
  <si>
    <t xml:space="preserve">Valanchery</t>
  </si>
  <si>
    <t xml:space="preserve">AAK Mall</t>
  </si>
  <si>
    <t xml:space="preserve">Tirur</t>
  </si>
  <si>
    <t xml:space="preserve">Tata.ev Store Malappuram</t>
  </si>
  <si>
    <t xml:space="preserve">Malappuram</t>
  </si>
  <si>
    <t xml:space="preserve">A M Tyres Malappuram - Tata Power</t>
  </si>
  <si>
    <t xml:space="preserve">Hotel Gokulam Relax Park</t>
  </si>
  <si>
    <t xml:space="preserve">Manjeri</t>
  </si>
  <si>
    <t xml:space="preserve">One Stop Automotive Cahrging Station - Tata Power</t>
  </si>
  <si>
    <t xml:space="preserve">Edavanna</t>
  </si>
  <si>
    <t xml:space="preserve">Moto Town Auto Hub - Tata Power</t>
  </si>
  <si>
    <t xml:space="preserve">Wandoor</t>
  </si>
  <si>
    <t xml:space="preserve">IOCL Aaditya Petroleum Naduvath Charging Station - Tata Power</t>
  </si>
  <si>
    <t xml:space="preserve">Calicut Airport Charging Station - Tata Power</t>
  </si>
  <si>
    <t xml:space="preserve">Kondotty</t>
  </si>
  <si>
    <t xml:space="preserve">TML Marina Motors - Tata Power</t>
  </si>
  <si>
    <t xml:space="preserve">Kozhikode</t>
  </si>
  <si>
    <t xml:space="preserve">Rotana Motors Meenchanda - Tata Power</t>
  </si>
  <si>
    <t xml:space="preserve">Meenchanda</t>
  </si>
  <si>
    <t xml:space="preserve">IOCL Lakshmi Sales &amp; Service - Tata Power</t>
  </si>
  <si>
    <t xml:space="preserve">Gokulam Galleria Mall - Tata Power</t>
  </si>
  <si>
    <t xml:space="preserve">Hotel Hyson Heritage - Tata Power</t>
  </si>
  <si>
    <t xml:space="preserve">Taj The Gateway Hotel - Tata Power</t>
  </si>
  <si>
    <t xml:space="preserve">IOCL Engapuzha Fuel - Tata Power</t>
  </si>
  <si>
    <t xml:space="preserve">Engapuzha</t>
  </si>
  <si>
    <t xml:space="preserve">IOCl Balaji Petroleum - Tata Power</t>
  </si>
  <si>
    <t xml:space="preserve">Sulthan Bathery</t>
  </si>
  <si>
    <t xml:space="preserve">Hotel Saugandhika Charging Station - Tata Power</t>
  </si>
  <si>
    <t xml:space="preserve">Meenangadi</t>
  </si>
  <si>
    <t xml:space="preserve">TML Marina Motors Pvt. Ltd. Kalpetta - Tata Power</t>
  </si>
  <si>
    <t xml:space="preserve">Kalpetta</t>
  </si>
  <si>
    <t xml:space="preserve">Taj Wayanad Resort and Spa- Tata Power</t>
  </si>
  <si>
    <t xml:space="preserve">Padinjarathara</t>
  </si>
  <si>
    <t xml:space="preserve">KVR Dream Vehicles Thalassery - Tata Power</t>
  </si>
  <si>
    <t xml:space="preserve">Thalassery</t>
  </si>
  <si>
    <t xml:space="preserve">IOCL - MK Petroleum - Tata Power</t>
  </si>
  <si>
    <t xml:space="preserve">Thazhe Chovva</t>
  </si>
  <si>
    <t xml:space="preserve">KVR Dream Vehicles Service Centre - Tata Power</t>
  </si>
  <si>
    <t xml:space="preserve">Iritty</t>
  </si>
  <si>
    <t xml:space="preserve">KVR Dream Vehicle - Tata Power</t>
  </si>
  <si>
    <t xml:space="preserve">Nadal</t>
  </si>
  <si>
    <t xml:space="preserve">Tata.ev KVR Dreams Kannur - Tata Power</t>
  </si>
  <si>
    <t xml:space="preserve">Kannur</t>
  </si>
  <si>
    <t xml:space="preserve">KVR Dream Vehicles Service Center - Tata Power</t>
  </si>
  <si>
    <t xml:space="preserve">Payyanur</t>
  </si>
  <si>
    <t xml:space="preserve">V-Net Shopping Complex - Tata Power</t>
  </si>
  <si>
    <t xml:space="preserve">Payyannur</t>
  </si>
  <si>
    <t xml:space="preserve">Taj Bekkal - Tata Power</t>
  </si>
  <si>
    <t xml:space="preserve">Bekkal</t>
  </si>
  <si>
    <t xml:space="preserve">AC_L1_(&lt;7.5kW)</t>
  </si>
  <si>
    <t xml:space="preserve">TML KVR Dream Vehicles EVCS - Tata Power</t>
  </si>
  <si>
    <t xml:space="preserve">Kasaragod</t>
  </si>
  <si>
    <t xml:space="preserve">IOCL Top Fuels Karanthakkad Charging Station - Tata Power</t>
  </si>
  <si>
    <t xml:space="preserve">Eco Charge Hub - GO EC</t>
  </si>
  <si>
    <t xml:space="preserve">Thiruvananthapuram</t>
  </si>
  <si>
    <t xml:space="preserve">Rajco EVCS - GO EC</t>
  </si>
  <si>
    <t xml:space="preserve">Neyyattinkara</t>
  </si>
  <si>
    <t xml:space="preserve">Appolo Dimora Hotel EVCS - GO EC</t>
  </si>
  <si>
    <t xml:space="preserve">Lulu International Mall EVCS - GO EC</t>
  </si>
  <si>
    <t xml:space="preserve">Trivandrum UST Campus EVCS - GO EC</t>
  </si>
  <si>
    <t xml:space="preserve">Karthika Residency Hotel EVCS - GO EC</t>
  </si>
  <si>
    <t xml:space="preserve">Karette</t>
  </si>
  <si>
    <t xml:space="preserve">KKP Renewables EVCS - GO EC</t>
  </si>
  <si>
    <t xml:space="preserve">Aeron EVCS - GO EC</t>
  </si>
  <si>
    <t xml:space="preserve">Attingal</t>
  </si>
  <si>
    <t xml:space="preserve">Zenith EVCS - GO EC</t>
  </si>
  <si>
    <t xml:space="preserve">Orion Plaza EVCS - GO EC</t>
  </si>
  <si>
    <t xml:space="preserve">Chadayamangalam</t>
  </si>
  <si>
    <t xml:space="preserve">Power Up EVCS - GO EC</t>
  </si>
  <si>
    <t xml:space="preserve">Varkala</t>
  </si>
  <si>
    <t xml:space="preserve">Green Planet EVCS - GO EC</t>
  </si>
  <si>
    <t xml:space="preserve">Kottarakkara</t>
  </si>
  <si>
    <t xml:space="preserve">RK EVCS - GO EC</t>
  </si>
  <si>
    <t xml:space="preserve">Kundara</t>
  </si>
  <si>
    <t xml:space="preserve">SK EVCS - GO EC</t>
  </si>
  <si>
    <t xml:space="preserve">Pathanapuram</t>
  </si>
  <si>
    <t xml:space="preserve">Erathu Motors EVCS - GO EC</t>
  </si>
  <si>
    <t xml:space="preserve">Puthoor</t>
  </si>
  <si>
    <t xml:space="preserve">Vrindavan EVCS - GO EC</t>
  </si>
  <si>
    <t xml:space="preserve">Inchakkad</t>
  </si>
  <si>
    <t xml:space="preserve">JB Power EVCS - GO EC</t>
  </si>
  <si>
    <t xml:space="preserve">Adoor</t>
  </si>
  <si>
    <t xml:space="preserve">Peninsula Park Residency EVCS - GO EC</t>
  </si>
  <si>
    <t xml:space="preserve">Green Earth - GO EC</t>
  </si>
  <si>
    <t xml:space="preserve">Sparkzone EVCS - GO EC</t>
  </si>
  <si>
    <t xml:space="preserve">Kayamkulam</t>
  </si>
  <si>
    <t xml:space="preserve">Zufo EVCS</t>
  </si>
  <si>
    <t xml:space="preserve">Karunagappalli</t>
  </si>
  <si>
    <t xml:space="preserve">Cartist - GO EC</t>
  </si>
  <si>
    <t xml:space="preserve">V Volte EVCS - GO EC</t>
  </si>
  <si>
    <t xml:space="preserve">Haripad</t>
  </si>
  <si>
    <t xml:space="preserve">Anjaly EVCS - GO EC</t>
  </si>
  <si>
    <t xml:space="preserve">Omallor</t>
  </si>
  <si>
    <t xml:space="preserve">Evergreen Continental EVCS - GO EC</t>
  </si>
  <si>
    <t xml:space="preserve">Pathanamthitta</t>
  </si>
  <si>
    <t xml:space="preserve">Quik Energy EVCS - GO EC</t>
  </si>
  <si>
    <t xml:space="preserve">Chengannur</t>
  </si>
  <si>
    <t xml:space="preserve">Amrutham Auto Care EVCS - GO EC</t>
  </si>
  <si>
    <t xml:space="preserve">Changanassery Immaculate Mary EVCS</t>
  </si>
  <si>
    <t xml:space="preserve">Changanassery</t>
  </si>
  <si>
    <t xml:space="preserve">Calvarymount Jerry Plaza</t>
  </si>
  <si>
    <t xml:space="preserve">Alliyar</t>
  </si>
  <si>
    <t xml:space="preserve">Westgate Inn EVCS - GO EC</t>
  </si>
  <si>
    <t xml:space="preserve">Kattappana</t>
  </si>
  <si>
    <t xml:space="preserve">GO EC Charging Station</t>
  </si>
  <si>
    <t xml:space="preserve">Idukki</t>
  </si>
  <si>
    <t xml:space="preserve">Sora EVCS - GO EC</t>
  </si>
  <si>
    <t xml:space="preserve">Kumali</t>
  </si>
  <si>
    <t xml:space="preserve">Open Kitchen EVCS - GO EC</t>
  </si>
  <si>
    <t xml:space="preserve">Kuttikkanam</t>
  </si>
  <si>
    <t xml:space="preserve">Nandanam EVCS - GO EC</t>
  </si>
  <si>
    <t xml:space="preserve">Kodungoor</t>
  </si>
  <si>
    <t xml:space="preserve">Clay Art Cafe - GO EC</t>
  </si>
  <si>
    <t xml:space="preserve">Ponkunnam</t>
  </si>
  <si>
    <t xml:space="preserve">GO Green EVCS - GO EC</t>
  </si>
  <si>
    <t xml:space="preserve">Anthikkad</t>
  </si>
  <si>
    <t xml:space="preserve">Nila's Magestic Arcade</t>
  </si>
  <si>
    <t xml:space="preserve">Kidangoor</t>
  </si>
  <si>
    <t xml:space="preserve">Ettumanur Skylight EVCS - GO EC</t>
  </si>
  <si>
    <t xml:space="preserve">Ettumanoor</t>
  </si>
  <si>
    <t xml:space="preserve">Chaithanya Hospital EVCS - GO EC</t>
  </si>
  <si>
    <t xml:space="preserve">Kuravilangad</t>
  </si>
  <si>
    <t xml:space="preserve">Manjoor Beeza Clubhouse EVCS - GO EC</t>
  </si>
  <si>
    <t xml:space="preserve">Manjoor</t>
  </si>
  <si>
    <t xml:space="preserve">Kalladanthiyil EVCS - GO EC</t>
  </si>
  <si>
    <t xml:space="preserve">Neendoor</t>
  </si>
  <si>
    <t xml:space="preserve">The Grand Ambassador EVCS</t>
  </si>
  <si>
    <t xml:space="preserve">Kottayam</t>
  </si>
  <si>
    <t xml:space="preserve">Hotel Athira Residency EVCS - GO EC</t>
  </si>
  <si>
    <t xml:space="preserve">Cassia Regency EVCS - GO EC</t>
  </si>
  <si>
    <t xml:space="preserve">Alappuzha</t>
  </si>
  <si>
    <t xml:space="preserve">Neo Charge EVCS - GO EC</t>
  </si>
  <si>
    <t xml:space="preserve">Jason Orchard Inn EVCS - GO EC</t>
  </si>
  <si>
    <t xml:space="preserve">Huts Restaurant EVCS - GO EC</t>
  </si>
  <si>
    <t xml:space="preserve">Cherthala</t>
  </si>
  <si>
    <t xml:space="preserve">Vijaya EVCS - GO EC</t>
  </si>
  <si>
    <t xml:space="preserve">Kanjiramattom</t>
  </si>
  <si>
    <t xml:space="preserve">MPA Tyres EVCS - GO EC</t>
  </si>
  <si>
    <t xml:space="preserve">Thrippunithura</t>
  </si>
  <si>
    <t xml:space="preserve">Central Talkies EVCS - GO EC</t>
  </si>
  <si>
    <t xml:space="preserve">Tribute Royale EVCS - GO EC</t>
  </si>
  <si>
    <t xml:space="preserve">Maradu</t>
  </si>
  <si>
    <t xml:space="preserve">Prithvi EVCS - GO EC</t>
  </si>
  <si>
    <t xml:space="preserve">Kadavanthra</t>
  </si>
  <si>
    <t xml:space="preserve">EC City Centre EVCS - GO EC</t>
  </si>
  <si>
    <t xml:space="preserve">Ernakulam</t>
  </si>
  <si>
    <t xml:space="preserve">Monsoon Empress Hotel EVCS</t>
  </si>
  <si>
    <t xml:space="preserve">Palarivattom</t>
  </si>
  <si>
    <t xml:space="preserve">Max EVCS - GO EC</t>
  </si>
  <si>
    <t xml:space="preserve">Park Residency EVCS - GO EC</t>
  </si>
  <si>
    <t xml:space="preserve">Kakkanad</t>
  </si>
  <si>
    <t xml:space="preserve">EVGO Hub - GO EC</t>
  </si>
  <si>
    <t xml:space="preserve">Thrikkakkara</t>
  </si>
  <si>
    <t xml:space="preserve">Daffodils EVCS - GO EC</t>
  </si>
  <si>
    <t xml:space="preserve">Edapally</t>
  </si>
  <si>
    <t xml:space="preserve">Oberon Mall EVCS - GO EC</t>
  </si>
  <si>
    <t xml:space="preserve">Lulu International Shopping Mall EVCS - GO EC</t>
  </si>
  <si>
    <t xml:space="preserve">EcoPlug EVCS - GO EC</t>
  </si>
  <si>
    <t xml:space="preserve">Neriyamangalam</t>
  </si>
  <si>
    <t xml:space="preserve">Future Clock EVCS - GO EC</t>
  </si>
  <si>
    <t xml:space="preserve">Perumbavoor</t>
  </si>
  <si>
    <t xml:space="preserve">Prestige EV Super Charging Station - GO EC</t>
  </si>
  <si>
    <t xml:space="preserve">Innate Convention Centre</t>
  </si>
  <si>
    <t xml:space="preserve">Aluva</t>
  </si>
  <si>
    <t xml:space="preserve">Athani Energize EVCS</t>
  </si>
  <si>
    <t xml:space="preserve">Athani</t>
  </si>
  <si>
    <t xml:space="preserve">Hotel Airlink Castle - GO EC</t>
  </si>
  <si>
    <t xml:space="preserve">V-Green EVCS - GO EC</t>
  </si>
  <si>
    <t xml:space="preserve">Gopika EV Charging Station - GO EC</t>
  </si>
  <si>
    <t xml:space="preserve">Varappuzha</t>
  </si>
  <si>
    <t xml:space="preserve">Power Zone EV Charging Station - GO EC</t>
  </si>
  <si>
    <t xml:space="preserve">North Paravur</t>
  </si>
  <si>
    <t xml:space="preserve">Koratty Chennai Anandabhavan EVCS - GO EC</t>
  </si>
  <si>
    <t xml:space="preserve">Koratty</t>
  </si>
  <si>
    <t xml:space="preserve">Parekkat's EVCS - GO EC</t>
  </si>
  <si>
    <t xml:space="preserve">Mala</t>
  </si>
  <si>
    <t xml:space="preserve">Kodungallur SVS - GO EC</t>
  </si>
  <si>
    <t xml:space="preserve">FUZO EV Super Charging Station</t>
  </si>
  <si>
    <t xml:space="preserve">Sree Rama EVCS - GO EC</t>
  </si>
  <si>
    <t xml:space="preserve">Daiz and Co. EVCS - GO EC</t>
  </si>
  <si>
    <t xml:space="preserve">Shobha City Mall EVCS - GO EC</t>
  </si>
  <si>
    <t xml:space="preserve">Amala Smart EVCS - GO EC</t>
  </si>
  <si>
    <t xml:space="preserve">Peramangalam</t>
  </si>
  <si>
    <t xml:space="preserve">Sree Sankara EVCS - GO EC</t>
  </si>
  <si>
    <t xml:space="preserve">Vadanappalli</t>
  </si>
  <si>
    <t xml:space="preserve">Green Drive EV Super Charging Station</t>
  </si>
  <si>
    <t xml:space="preserve">Vadanappilly</t>
  </si>
  <si>
    <t xml:space="preserve">Sree Krishna Hotel - GO EC</t>
  </si>
  <si>
    <t xml:space="preserve">Guruvayoor</t>
  </si>
  <si>
    <t xml:space="preserve">Palakkad Ahalia Women and Childern Hospital EVCS - GO EC</t>
  </si>
  <si>
    <t xml:space="preserve">Elappully</t>
  </si>
  <si>
    <t xml:space="preserve">Palakkad Ahalia Eye Hospital EVCS - GO EC</t>
  </si>
  <si>
    <t xml:space="preserve">Palakkad Ahalia Food Point EVCS - GO EC</t>
  </si>
  <si>
    <t xml:space="preserve">Ahalia Walayar - GO EC</t>
  </si>
  <si>
    <t xml:space="preserve">Walayar</t>
  </si>
  <si>
    <t xml:space="preserve">Le Sky Dine EVCS - GO EC</t>
  </si>
  <si>
    <t xml:space="preserve">Doctor Green EVCS - GO EC</t>
  </si>
  <si>
    <t xml:space="preserve">Alathur</t>
  </si>
  <si>
    <t xml:space="preserve">SJ Eco Power Charge - GO EC</t>
  </si>
  <si>
    <t xml:space="preserve">Jeevz - GO EC</t>
  </si>
  <si>
    <t xml:space="preserve">Vadakkencherry</t>
  </si>
  <si>
    <t xml:space="preserve">Sanjeevani Green - GO EC</t>
  </si>
  <si>
    <t xml:space="preserve">Thiruvilwamala</t>
  </si>
  <si>
    <t xml:space="preserve">Green Valley - GO EC</t>
  </si>
  <si>
    <t xml:space="preserve">Thirissur</t>
  </si>
  <si>
    <t xml:space="preserve">AR Dine - GO EC</t>
  </si>
  <si>
    <t xml:space="preserve">Cheruthuruthi</t>
  </si>
  <si>
    <t xml:space="preserve">EV Super Charging Station</t>
  </si>
  <si>
    <t xml:space="preserve">Pattambi</t>
  </si>
  <si>
    <t xml:space="preserve">Pattambi Power Bank - GO EC</t>
  </si>
  <si>
    <t xml:space="preserve">New Kerala Hotel EVCS - GO EC</t>
  </si>
  <si>
    <t xml:space="preserve">Nhangattiri</t>
  </si>
  <si>
    <t xml:space="preserve">Oasis EV Super Charging Station</t>
  </si>
  <si>
    <t xml:space="preserve">Mannarkkad</t>
  </si>
  <si>
    <t xml:space="preserve">Shalimar EVCS - GO EC</t>
  </si>
  <si>
    <t xml:space="preserve">Green Zone EVCS - GO EC</t>
  </si>
  <si>
    <t xml:space="preserve">Unicorn Power EVCS - GO EC</t>
  </si>
  <si>
    <t xml:space="preserve">Edappal</t>
  </si>
  <si>
    <t xml:space="preserve">CG Cafe EVCS - GO EC</t>
  </si>
  <si>
    <t xml:space="preserve">Pandikkad</t>
  </si>
  <si>
    <t xml:space="preserve">Karulai Malayora Express EVCS - GO EC</t>
  </si>
  <si>
    <t xml:space="preserve">Karulai</t>
  </si>
  <si>
    <t xml:space="preserve">Jam Joom Super Market - GO EC</t>
  </si>
  <si>
    <t xml:space="preserve">Nilambur</t>
  </si>
  <si>
    <t xml:space="preserve">ABS Motors - GO EC</t>
  </si>
  <si>
    <t xml:space="preserve">VP Mall EVCS - GO EC</t>
  </si>
  <si>
    <t xml:space="preserve">Jam Joom EV Charging Station - GO EC</t>
  </si>
  <si>
    <t xml:space="preserve">HIQ Highway Market - GO EC</t>
  </si>
  <si>
    <t xml:space="preserve">Venniyour</t>
  </si>
  <si>
    <t xml:space="preserve">Chargify EV Super Charging Station</t>
  </si>
  <si>
    <t xml:space="preserve">Reliance Fresh EVCS - GO EC</t>
  </si>
  <si>
    <t xml:space="preserve">Top Dines Hotel - GO EC</t>
  </si>
  <si>
    <t xml:space="preserve">Muthanga</t>
  </si>
  <si>
    <t xml:space="preserve">Cafe Manoila - GO EC</t>
  </si>
  <si>
    <t xml:space="preserve">CGH Wayanad Wild EV Charging Station - GO EC</t>
  </si>
  <si>
    <t xml:space="preserve">Lakkidi</t>
  </si>
  <si>
    <t xml:space="preserve">Mall of Mukkom EVCS - GO EC</t>
  </si>
  <si>
    <t xml:space="preserve">Mukkom</t>
  </si>
  <si>
    <t xml:space="preserve">HOTAG EV Charging Station - GO EC</t>
  </si>
  <si>
    <t xml:space="preserve">Thamarassery</t>
  </si>
  <si>
    <t xml:space="preserve">Green Amp EVCS - GO EC</t>
  </si>
  <si>
    <t xml:space="preserve">Calicut Malabar Gold - GO EC</t>
  </si>
  <si>
    <t xml:space="preserve">Mandrin Sky - GO EC</t>
  </si>
  <si>
    <t xml:space="preserve">JSR EVCS - GO EC</t>
  </si>
  <si>
    <t xml:space="preserve">Mambaram</t>
  </si>
  <si>
    <t xml:space="preserve">Kannur H&amp;H</t>
  </si>
  <si>
    <t xml:space="preserve">Melechowa</t>
  </si>
  <si>
    <t xml:space="preserve">G Mall - GO EC</t>
  </si>
  <si>
    <t xml:space="preserve">Exit 17 - GO EC</t>
  </si>
  <si>
    <t xml:space="preserve">Periya A Star - GO EC</t>
  </si>
  <si>
    <t xml:space="preserve">Hosdurg</t>
  </si>
  <si>
    <t xml:space="preserve">Roshi EVCS (EVOK) - ChargeMOD</t>
  </si>
  <si>
    <t xml:space="preserve">Kanhangad KSEB EVCS - ChangeMOD</t>
  </si>
  <si>
    <t xml:space="preserve">Kanhangad</t>
  </si>
  <si>
    <t xml:space="preserve">Ammas Fast - ChargeMOD</t>
  </si>
  <si>
    <t xml:space="preserve">Cheruvathur</t>
  </si>
  <si>
    <t xml:space="preserve">Mathil Service Co-Operative Bank EVCS - ChargeMOD</t>
  </si>
  <si>
    <t xml:space="preserve">Mathil</t>
  </si>
  <si>
    <t xml:space="preserve">EQ Point EVCS - ChargeMOD</t>
  </si>
  <si>
    <t xml:space="preserve">PCR Bank EVCS - ChargeMOD</t>
  </si>
  <si>
    <t xml:space="preserve">Bakkalam</t>
  </si>
  <si>
    <t xml:space="preserve">Manjapalam KSEB EVCS - ChargeMOD</t>
  </si>
  <si>
    <t xml:space="preserve">Eastend Hotel and Resorts - ChargeMOD</t>
  </si>
  <si>
    <t xml:space="preserve">Munnar</t>
  </si>
  <si>
    <t xml:space="preserve">Sky Penta EVCS - ChargeMOD</t>
  </si>
  <si>
    <t xml:space="preserve">Reboost EVCS - ChargeMOD</t>
  </si>
  <si>
    <t xml:space="preserve">Panoor, Kannur</t>
  </si>
  <si>
    <t xml:space="preserve">Mindful EVCS - ChargeMOD</t>
  </si>
  <si>
    <t xml:space="preserve">Payyoli</t>
  </si>
  <si>
    <t xml:space="preserve">EVOK Charger - ChargeMOD</t>
  </si>
  <si>
    <t xml:space="preserve">Kuttiyady</t>
  </si>
  <si>
    <t xml:space="preserve">Banasura Sagar KSEB EVCS - ChargeMOD</t>
  </si>
  <si>
    <t xml:space="preserve">Empire Restaurant - ChargeMOD</t>
  </si>
  <si>
    <t xml:space="preserve">Tharuvana</t>
  </si>
  <si>
    <t xml:space="preserve">Hotel Wayanad Square - ChargeMOD</t>
  </si>
  <si>
    <t xml:space="preserve">Mananthavady</t>
  </si>
  <si>
    <t xml:space="preserve">Adhithya (EVOK) - ChargeMOD</t>
  </si>
  <si>
    <t xml:space="preserve">Meenangadi EVCS - ChargeMOD</t>
  </si>
  <si>
    <t xml:space="preserve">Konfudha Resort - ChargeMOD</t>
  </si>
  <si>
    <t xml:space="preserve">Vythiri KSEB EVCS - ChargeMOD</t>
  </si>
  <si>
    <t xml:space="preserve">Vythiri</t>
  </si>
  <si>
    <t xml:space="preserve">Thamarassery KESEB EVCS - ChargeMOD</t>
  </si>
  <si>
    <t xml:space="preserve">Locus EVCS - ChargeMOD</t>
  </si>
  <si>
    <t xml:space="preserve">Koduvally</t>
  </si>
  <si>
    <t xml:space="preserve">Yadav EV Charging Station - ChargeMOD</t>
  </si>
  <si>
    <t xml:space="preserve">Kunnamangalam</t>
  </si>
  <si>
    <t xml:space="preserve">Kuttoth Enterprises EVCS - ChargeMOD</t>
  </si>
  <si>
    <t xml:space="preserve">RG Nallanna EVCS (EVOK) - ChargeMOD</t>
  </si>
  <si>
    <t xml:space="preserve">Solar Sparks EVCS - ChargeMOD</t>
  </si>
  <si>
    <t xml:space="preserve">Koyilandi</t>
  </si>
  <si>
    <t xml:space="preserve">Hotel Arcore</t>
  </si>
  <si>
    <t xml:space="preserve">Mysuru</t>
  </si>
  <si>
    <t xml:space="preserve">Manipal Hospital Mysore</t>
  </si>
  <si>
    <t xml:space="preserve">Pavangad KSEB EVCS - ChargeMOD</t>
  </si>
  <si>
    <t xml:space="preserve">Pavangad</t>
  </si>
  <si>
    <t xml:space="preserve">Gandhi Road KSEB EVCS - ChargeMOD</t>
  </si>
  <si>
    <t xml:space="preserve">Mountainpass Residency - ChargeMOD</t>
  </si>
  <si>
    <t xml:space="preserve">Vazhikadavu</t>
  </si>
  <si>
    <t xml:space="preserve">Trends Edavannappara EVCS - ChargeMOD</t>
  </si>
  <si>
    <t xml:space="preserve">Edavannappara</t>
  </si>
  <si>
    <t xml:space="preserve">Indus Motors - ChargeMOD</t>
  </si>
  <si>
    <t xml:space="preserve">Feroke</t>
  </si>
  <si>
    <t xml:space="preserve">Kay Pees Electricals (EVOK) - ChargeMOD</t>
  </si>
  <si>
    <t xml:space="preserve">Pulikkal</t>
  </si>
  <si>
    <t xml:space="preserve">Aikkarapadi</t>
  </si>
  <si>
    <t xml:space="preserve">NOS2 Varalakshmi Motors EVCS - ChargeMOD</t>
  </si>
  <si>
    <t xml:space="preserve">Pingottormad</t>
  </si>
  <si>
    <t xml:space="preserve">Tirur KSEB EVCS - ChargeMOD</t>
  </si>
  <si>
    <t xml:space="preserve">Relax Point Restaurant</t>
  </si>
  <si>
    <t xml:space="preserve">Karippol</t>
  </si>
  <si>
    <t xml:space="preserve">Thirunilath ECVS Charging Station - ChargeMOD</t>
  </si>
  <si>
    <t xml:space="preserve">Kottakkal</t>
  </si>
  <si>
    <t xml:space="preserve">Malappuram KSEB EVCS - ChargeMOD</t>
  </si>
  <si>
    <t xml:space="preserve">Munduparamba</t>
  </si>
  <si>
    <t xml:space="preserve">Krishna Enterprises - ChargeMOD</t>
  </si>
  <si>
    <t xml:space="preserve">Golden Baked EVCS - ChargeMOD</t>
  </si>
  <si>
    <t xml:space="preserve">EcoCharge EVCS - ChargeMOD</t>
  </si>
  <si>
    <t xml:space="preserve">MKM Melattur (EVOK) - ChargeMOD</t>
  </si>
  <si>
    <t xml:space="preserve">Melattur</t>
  </si>
  <si>
    <t xml:space="preserve">Green Drive EVCS - ChargeMOD</t>
  </si>
  <si>
    <t xml:space="preserve">Vengoor</t>
  </si>
  <si>
    <t xml:space="preserve">Hotel Mughal Park - ChargeMOD</t>
  </si>
  <si>
    <t xml:space="preserve">Avenue Plaza - ChargeMOD</t>
  </si>
  <si>
    <t xml:space="preserve">Velanthavalam</t>
  </si>
  <si>
    <t xml:space="preserve">Vellamthavalam</t>
  </si>
  <si>
    <t xml:space="preserve">Flash Charge EVCS - ChargeMOD</t>
  </si>
  <si>
    <t xml:space="preserve">Kanjikkode</t>
  </si>
  <si>
    <t xml:space="preserve">Electrica EVCS - ChargeMOD</t>
  </si>
  <si>
    <t xml:space="preserve">Sihla Energy - ChargeMOD</t>
  </si>
  <si>
    <t xml:space="preserve">Mundur</t>
  </si>
  <si>
    <t xml:space="preserve">Lakshmi KRS EVCS - ChargeMOD</t>
  </si>
  <si>
    <t xml:space="preserve">Sreekrishnapuram</t>
  </si>
  <si>
    <t xml:space="preserve">Evee Buddy - ChargeMOD</t>
  </si>
  <si>
    <t xml:space="preserve">Kulappully KSEB EVCS - ChargeMOD</t>
  </si>
  <si>
    <t xml:space="preserve">Kulappully</t>
  </si>
  <si>
    <t xml:space="preserve">Syndicate Mall and Cinemas</t>
  </si>
  <si>
    <t xml:space="preserve">Medi Mall EVCS - ChargeMOD</t>
  </si>
  <si>
    <t xml:space="preserve">Koottanad KSEB EVCS - ChargeMOD</t>
  </si>
  <si>
    <t xml:space="preserve">Kootanad</t>
  </si>
  <si>
    <t xml:space="preserve">Sihla Energy EVCS - ChargeMOD</t>
  </si>
  <si>
    <t xml:space="preserve">Changaramkulam</t>
  </si>
  <si>
    <t xml:space="preserve">Kadharkkante Chayakkada - ChargeMOD</t>
  </si>
  <si>
    <t xml:space="preserve">Maranchery Bank EVCS - ChargeMOD</t>
  </si>
  <si>
    <t xml:space="preserve">Maranchery</t>
  </si>
  <si>
    <t xml:space="preserve">Sihla Energy CV Junction</t>
  </si>
  <si>
    <t xml:space="preserve">Ponnanu</t>
  </si>
  <si>
    <t xml:space="preserve">Ponnani KSEB EVCS - ChargeMOD</t>
  </si>
  <si>
    <t xml:space="preserve">Ponnani</t>
  </si>
  <si>
    <t xml:space="preserve">Erumappetti</t>
  </si>
  <si>
    <t xml:space="preserve">SR Power Hub - ChargeMOD</t>
  </si>
  <si>
    <t xml:space="preserve">Wadakkanchery</t>
  </si>
  <si>
    <t xml:space="preserve">Executive EVCS - ChargeMOD</t>
  </si>
  <si>
    <t xml:space="preserve">Kechery</t>
  </si>
  <si>
    <t xml:space="preserve">Core Multicusine Restaurant - ChargeMOD</t>
  </si>
  <si>
    <t xml:space="preserve">Killannur</t>
  </si>
  <si>
    <t xml:space="preserve">Plug and Share Charge EVCS - ChargeMOD</t>
  </si>
  <si>
    <t xml:space="preserve">Vydyuthi Bhavan KSEB EVCS - ChargeMOD</t>
  </si>
  <si>
    <t xml:space="preserve">V8 Car Spa (EVOK) - ChargeMOD</t>
  </si>
  <si>
    <t xml:space="preserve">Guardian EV Charging Station by Imminent Future - ChargeMOD</t>
  </si>
  <si>
    <t xml:space="preserve">Anchorage AC - ChargeMOD</t>
  </si>
  <si>
    <t xml:space="preserve">Mundupalam</t>
  </si>
  <si>
    <t xml:space="preserve">Flash Hub EVCS - ChargeMOD</t>
  </si>
  <si>
    <t xml:space="preserve">Hotel Bhavan EVCS (EVOK) - ChargeMOD</t>
  </si>
  <si>
    <t xml:space="preserve">Engandiyoor</t>
  </si>
  <si>
    <t xml:space="preserve">Surya Hotel (EVOK) - ChargeMOD</t>
  </si>
  <si>
    <t xml:space="preserve">Chazhoor</t>
  </si>
  <si>
    <t xml:space="preserve">Valappad KSEB EVCS - ChargeMOD</t>
  </si>
  <si>
    <t xml:space="preserve">Valappad</t>
  </si>
  <si>
    <t xml:space="preserve">Nattika FIRKA Service Co-Operative Bank - ChargeMOD</t>
  </si>
  <si>
    <t xml:space="preserve">Nattika</t>
  </si>
  <si>
    <t xml:space="preserve">Karuvannur</t>
  </si>
  <si>
    <t xml:space="preserve">Irinjalakkuda KSEB EVCS - ChargeMOD</t>
  </si>
  <si>
    <t xml:space="preserve">Irinjalakkuda</t>
  </si>
  <si>
    <t xml:space="preserve">Changathikoottam EVCS - ChargeMOD</t>
  </si>
  <si>
    <t xml:space="preserve">Nenmara</t>
  </si>
  <si>
    <t xml:space="preserve">Vadakkenchery KSEB EVCS - ChargeMOD</t>
  </si>
  <si>
    <t xml:space="preserve">Vadakkenchery</t>
  </si>
  <si>
    <t xml:space="preserve">Plugin EVCS - ChargeMOD</t>
  </si>
  <si>
    <t xml:space="preserve">Marathakkara</t>
  </si>
  <si>
    <t xml:space="preserve">Topup Zone EVCS - ChargeMOD</t>
  </si>
  <si>
    <t xml:space="preserve">EV Point EVCS - ChargeMOD</t>
  </si>
  <si>
    <t xml:space="preserve">Kodakara</t>
  </si>
  <si>
    <t xml:space="preserve">Korner EVCS - ChargeMOD</t>
  </si>
  <si>
    <t xml:space="preserve">Chalakudy</t>
  </si>
  <si>
    <t xml:space="preserve">Edassery Samrudhi Hypermarket (EVOK) - ChargeMOD</t>
  </si>
  <si>
    <t xml:space="preserve">Indian Coffee House (EVOK) - ChargeMOD</t>
  </si>
  <si>
    <t xml:space="preserve">Chalakkudy</t>
  </si>
  <si>
    <t xml:space="preserve">Clay House Hotel</t>
  </si>
  <si>
    <t xml:space="preserve">Hill View Resort (EVOK) - ChargeMOD</t>
  </si>
  <si>
    <t xml:space="preserve">Athirappilly</t>
  </si>
  <si>
    <t xml:space="preserve">EVOK Charging Station - ChargeMOD</t>
  </si>
  <si>
    <t xml:space="preserve">Edassery Blue Bells EVCS - ChargeMOD</t>
  </si>
  <si>
    <t xml:space="preserve">Hotel Elite Palazzo</t>
  </si>
  <si>
    <t xml:space="preserve">ChargeMOD EVCS Hub</t>
  </si>
  <si>
    <t xml:space="preserve">CIAL Terminal 3</t>
  </si>
  <si>
    <t xml:space="preserve">CIAL Terminal 1</t>
  </si>
  <si>
    <t xml:space="preserve">Capgo EVCS - ChargeMOD</t>
  </si>
  <si>
    <t xml:space="preserve">Jippus Galaxy EVCS - ChargeMOD</t>
  </si>
  <si>
    <t xml:space="preserve">Airsuite Airport Hotel</t>
  </si>
  <si>
    <t xml:space="preserve">North Paravoor KSEB EVCS - ChargeMOD</t>
  </si>
  <si>
    <t xml:space="preserve">North Paravoor</t>
  </si>
  <si>
    <t xml:space="preserve">Dhruv EVCS - ChargeMOD</t>
  </si>
  <si>
    <t xml:space="preserve">Kunnukara</t>
  </si>
  <si>
    <t xml:space="preserve">Sulfex Mattress (EVOK) - ChargeMOD</t>
  </si>
  <si>
    <t xml:space="preserve">EVM MG Motors Coastline Garage - ChargeMOD</t>
  </si>
  <si>
    <t xml:space="preserve">Kochi</t>
  </si>
  <si>
    <t xml:space="preserve">Steelane (EVOK) - ChargeMOD</t>
  </si>
  <si>
    <t xml:space="preserve">Kalamassery</t>
  </si>
  <si>
    <t xml:space="preserve">Kalamassery KSEB EVCS - ChargeMOD</t>
  </si>
  <si>
    <t xml:space="preserve">Rajagiri College EVCS - ChargeMOD</t>
  </si>
  <si>
    <t xml:space="preserve">Flash Charge - ChargeMOD</t>
  </si>
  <si>
    <t xml:space="preserve">Kaloor KSEB EVCS - ChargeMOD</t>
  </si>
  <si>
    <t xml:space="preserve">Kaloor</t>
  </si>
  <si>
    <t xml:space="preserve">Gandhinagar KSEB EVCS - ChargeMOD</t>
  </si>
  <si>
    <t xml:space="preserve">Chillax EVCS (EVOK) - ChargeMOD</t>
  </si>
  <si>
    <t xml:space="preserve">Thammanam</t>
  </si>
  <si>
    <t xml:space="preserve">Evee Buddy - Memaid EVCS - ChargeMOD</t>
  </si>
  <si>
    <t xml:space="preserve">Vyttila</t>
  </si>
  <si>
    <t xml:space="preserve">Broad Bean Hotel (EVOK) - ChargeMOD</t>
  </si>
  <si>
    <t xml:space="preserve">Vyttila KSEB EVCS - ChargeMOD</t>
  </si>
  <si>
    <t xml:space="preserve">BYD EVM Southcoast Service Centre - ChargeMOD</t>
  </si>
  <si>
    <t xml:space="preserve">EVM La Maison Citroen Kochi - ChargeMOD</t>
  </si>
  <si>
    <t xml:space="preserve">LiON EVCS - ChargeMOD</t>
  </si>
  <si>
    <t xml:space="preserve">Rajagiri Hospital EVCS - ChargeMOD</t>
  </si>
  <si>
    <t xml:space="preserve">Raos EVCS - ChargeMOD</t>
  </si>
  <si>
    <t xml:space="preserve">Thrippunithara</t>
  </si>
  <si>
    <t xml:space="preserve">PPG Home EVCS - ChargeMOD</t>
  </si>
  <si>
    <t xml:space="preserve">We Connect EVCS - ChargeMOD</t>
  </si>
  <si>
    <t xml:space="preserve">Wonderla - Statiq</t>
  </si>
  <si>
    <t xml:space="preserve">Pallikkara</t>
  </si>
  <si>
    <t xml:space="preserve">Matha DC EVCS - ChargeMOD</t>
  </si>
  <si>
    <t xml:space="preserve">Kizhakkambalam</t>
  </si>
  <si>
    <t xml:space="preserve">Hotel Oottupura (EVOK) - ChargeMOD</t>
  </si>
  <si>
    <t xml:space="preserve">Renvolt (EVOK) - ChargeMOD</t>
  </si>
  <si>
    <t xml:space="preserve">Kothamangalam</t>
  </si>
  <si>
    <t xml:space="preserve">Kothamangalam KSEB EVCS - ChargeMOD</t>
  </si>
  <si>
    <t xml:space="preserve">GATR PowerFin EVCS - ChargeMOD</t>
  </si>
  <si>
    <t xml:space="preserve">Muvattupuzha</t>
  </si>
  <si>
    <t xml:space="preserve">PlugMap EVCS by Evan and Eyan - ChargeMOD</t>
  </si>
  <si>
    <t xml:space="preserve">Moovattupuzha</t>
  </si>
  <si>
    <t xml:space="preserve">Kabani International (EVOK) - ChargeMOD</t>
  </si>
  <si>
    <t xml:space="preserve">Pineapple City EVCS - ChargeMOD</t>
  </si>
  <si>
    <t xml:space="preserve">Thodupuzha</t>
  </si>
  <si>
    <t xml:space="preserve">Hotel Woodlands - ChargeMOD</t>
  </si>
  <si>
    <t xml:space="preserve">Thodupuzha KSEB EVCS - ChargeMOD</t>
  </si>
  <si>
    <t xml:space="preserve">EQ EV Nest - ChargeMOD</t>
  </si>
  <si>
    <t xml:space="preserve">Karimkunnam</t>
  </si>
  <si>
    <t xml:space="preserve">Royal EV Charging - ChargeMOD</t>
  </si>
  <si>
    <t xml:space="preserve">Koothattukulam</t>
  </si>
  <si>
    <t xml:space="preserve">EQ ChargeMate - ChargeMOD</t>
  </si>
  <si>
    <t xml:space="preserve">Thalayolaparambu</t>
  </si>
  <si>
    <t xml:space="preserve">Kumarakom</t>
  </si>
  <si>
    <t xml:space="preserve">BMW EVM Autokraft Service Center - ChargeMOD</t>
  </si>
  <si>
    <t xml:space="preserve">Kochuveli</t>
  </si>
  <si>
    <t xml:space="preserve">ChargeMOD EVCS</t>
  </si>
  <si>
    <t xml:space="preserve">Emily By JDaniels</t>
  </si>
  <si>
    <t xml:space="preserve">Poojappura</t>
  </si>
  <si>
    <t xml:space="preserve">Nuke EVCS - ChargeMOD</t>
  </si>
  <si>
    <t xml:space="preserve">Sreekaryam</t>
  </si>
  <si>
    <t xml:space="preserve">Electro Zone EV Fast Charging Station - ChargeMOD</t>
  </si>
  <si>
    <t xml:space="preserve">Karyavattom</t>
  </si>
  <si>
    <t xml:space="preserve">Akshaya EV Fast Charging Station - ChargeMOD</t>
  </si>
  <si>
    <t xml:space="preserve">Kazhakuttom</t>
  </si>
  <si>
    <t xml:space="preserve">Hybrid Cars Kazkakuttom - ChargeMOD</t>
  </si>
  <si>
    <t xml:space="preserve">Moolamattom KSEB EVCS - ChargeMOD</t>
  </si>
  <si>
    <t xml:space="preserve">Moolamattom</t>
  </si>
  <si>
    <t xml:space="preserve">EQ Vagamon EV Port - ChargeMOD</t>
  </si>
  <si>
    <t xml:space="preserve">Vagamon</t>
  </si>
  <si>
    <t xml:space="preserve">Palm Peats (EVOK) - ChargeMOD</t>
  </si>
  <si>
    <t xml:space="preserve">Erattupetta</t>
  </si>
  <si>
    <t xml:space="preserve">Flour Mill (EVOK) - ChargeMOD</t>
  </si>
  <si>
    <t xml:space="preserve">Pala</t>
  </si>
  <si>
    <t xml:space="preserve">Jim and Jims EVCS - ChargeMOD</t>
  </si>
  <si>
    <t xml:space="preserve">Alpha Hangout Play World</t>
  </si>
  <si>
    <t xml:space="preserve">Gandhi Nagar KSEB EVCS - ChargeMOD</t>
  </si>
  <si>
    <t xml:space="preserve">Arpookara</t>
  </si>
  <si>
    <t xml:space="preserve">Indraprastha Hotel (EVOK) - ChargeMOD</t>
  </si>
  <si>
    <t xml:space="preserve">Charge n Fresh EVCS - ChargeMOD</t>
  </si>
  <si>
    <t xml:space="preserve">Pallam KSEB EVCS - ChargeMOD</t>
  </si>
  <si>
    <t xml:space="preserve">Pallom</t>
  </si>
  <si>
    <t xml:space="preserve">Amma Restaurant</t>
  </si>
  <si>
    <t xml:space="preserve">Thankamanys EV Fast Charging Station - ChargeMOD</t>
  </si>
  <si>
    <t xml:space="preserve">Punnapra KSEB EVCS - ChargeMOD</t>
  </si>
  <si>
    <t xml:space="preserve">Punnapra</t>
  </si>
  <si>
    <t xml:space="preserve">Pathalil EVCS - Charge MOD</t>
  </si>
  <si>
    <t xml:space="preserve">Nedumkunnam</t>
  </si>
  <si>
    <t xml:space="preserve">JJ E Fills - ChargeMOD</t>
  </si>
  <si>
    <t xml:space="preserve">Wealfro EV Hub</t>
  </si>
  <si>
    <t xml:space="preserve">Thiruvalla</t>
  </si>
  <si>
    <t xml:space="preserve">Anand Hypermarket - ChargeMOD</t>
  </si>
  <si>
    <t xml:space="preserve">Iongrid EV Spark - ChargeMOD</t>
  </si>
  <si>
    <t xml:space="preserve">Edathwa</t>
  </si>
  <si>
    <t xml:space="preserve">V Charge Hub - ChargeMOD</t>
  </si>
  <si>
    <t xml:space="preserve">Karuvatta</t>
  </si>
  <si>
    <t xml:space="preserve">Quick Charge EVCS - ChargeMOD</t>
  </si>
  <si>
    <t xml:space="preserve">Phills Hub EVCS - ChargeMOD</t>
  </si>
  <si>
    <t xml:space="preserve">Pamba KSEB EVCS - ChargeMOD</t>
  </si>
  <si>
    <t xml:space="preserve">Pamba</t>
  </si>
  <si>
    <t xml:space="preserve">EVOK Pathanamthitta - ChargeMOD</t>
  </si>
  <si>
    <t xml:space="preserve">Green Plug EVCS - ChargeMOD</t>
  </si>
  <si>
    <t xml:space="preserve">PTC Arcade - ChargeMOD</t>
  </si>
  <si>
    <t xml:space="preserve">Askar EV - ChargeMOD</t>
  </si>
  <si>
    <t xml:space="preserve">Mavelikkara</t>
  </si>
  <si>
    <t xml:space="preserve">Anaswara Jewellers EVCS - ChargeMOD</t>
  </si>
  <si>
    <t xml:space="preserve">Konni</t>
  </si>
  <si>
    <t xml:space="preserve">EQ Power Buzz EVCS - ChargeMOD</t>
  </si>
  <si>
    <t xml:space="preserve">Paranthal</t>
  </si>
  <si>
    <t xml:space="preserve">Adhithya Green Power - ChargeMOD</t>
  </si>
  <si>
    <t xml:space="preserve">SR Auto Zone - ChargeMOD</t>
  </si>
  <si>
    <t xml:space="preserve">Artemis EV Super Charger - ChargeMOD</t>
  </si>
  <si>
    <t xml:space="preserve">Royale Regency (EVOK) - ChargeMOD</t>
  </si>
  <si>
    <t xml:space="preserve">Ochira</t>
  </si>
  <si>
    <t xml:space="preserve">Delight Launch Cafe - ChargeMOD</t>
  </si>
  <si>
    <t xml:space="preserve">Ente Veedu Interior (EVOK) - ChargeMOD</t>
  </si>
  <si>
    <t xml:space="preserve">Thenmala EVOK - ChargeMOD</t>
  </si>
  <si>
    <t xml:space="preserve">Thenmala</t>
  </si>
  <si>
    <t xml:space="preserve">Plug N Pay EVCS - ChargeMOD</t>
  </si>
  <si>
    <t xml:space="preserve">Odanavattom</t>
  </si>
  <si>
    <t xml:space="preserve">Kundara KSEB - ChargeMOD</t>
  </si>
  <si>
    <t xml:space="preserve">Sree Suprabhatham - ChargeMOD</t>
  </si>
  <si>
    <t xml:space="preserve">Kollam</t>
  </si>
  <si>
    <t xml:space="preserve">Bishop Jerome Nagar (EVOK) EVCS - ChargeMOD</t>
  </si>
  <si>
    <t xml:space="preserve">Chinnakkada</t>
  </si>
  <si>
    <t xml:space="preserve">VOX Xpress Wash (EVOK) - ChargeMOD</t>
  </si>
  <si>
    <t xml:space="preserve">EVOK Charging Stattion - ChargeMOD</t>
  </si>
  <si>
    <t xml:space="preserve">Parippalli</t>
  </si>
  <si>
    <t xml:space="preserve">Plug N Pay EVCS</t>
  </si>
  <si>
    <t xml:space="preserve">Kottiyam KSEB EVCS - ChargeMOD</t>
  </si>
  <si>
    <t xml:space="preserve">Kottiyam</t>
  </si>
  <si>
    <t xml:space="preserve">Avananchery KSEB EVCS - ChargeMOD</t>
  </si>
  <si>
    <t xml:space="preserve">Paruthippara KSEB EVCS - ChargeMOD</t>
  </si>
  <si>
    <t xml:space="preserve">Paruthippara</t>
  </si>
  <si>
    <t xml:space="preserve">Pattom KSEB EVCS - ChargeMOD</t>
  </si>
  <si>
    <t xml:space="preserve">Pattom</t>
  </si>
  <si>
    <t xml:space="preserve">ANERT EESL - Pinarayi Park</t>
  </si>
  <si>
    <t xml:space="preserve">ANERT EESL - Aahar Restaurant Vadakara</t>
  </si>
  <si>
    <t xml:space="preserve">Vadakara</t>
  </si>
  <si>
    <t xml:space="preserve">ANERT EESL - Moosakkutti Memorial Bus Stand</t>
  </si>
  <si>
    <t xml:space="preserve">ANERT EESL - Kanjirappuzha Garden</t>
  </si>
  <si>
    <t xml:space="preserve">ANERT EESL - KTDC Aahar Restaurant</t>
  </si>
  <si>
    <t xml:space="preserve">ANERT EESL - Kulappulli Bus Stand</t>
  </si>
  <si>
    <t xml:space="preserve">Shornur</t>
  </si>
  <si>
    <t xml:space="preserve">ANERT EESL - KILA Thrissur</t>
  </si>
  <si>
    <t xml:space="preserve">ANERT EESL - Chittur Thathamangalam Minicipality</t>
  </si>
  <si>
    <t xml:space="preserve">ANERT EESL - DTPC Idukki Park</t>
  </si>
  <si>
    <t xml:space="preserve">ANERT EESL - Ernakulam</t>
  </si>
  <si>
    <t xml:space="preserve">ANERT EESL - Autokast</t>
  </si>
  <si>
    <t xml:space="preserve">ANERT EESL Milma Diary Plant - EESL</t>
  </si>
  <si>
    <t xml:space="preserve">ANERT - EESL Sangamukham - EESL</t>
  </si>
  <si>
    <t xml:space="preserve">Apco Hyundai - ChargeZone</t>
  </si>
  <si>
    <t xml:space="preserve">Chengala</t>
  </si>
  <si>
    <t xml:space="preserve">Thiruvangoor EV Fast Charging Station - ChargeMOD</t>
  </si>
  <si>
    <t xml:space="preserve">MB#Bridgeway Motors - ChargeZone</t>
  </si>
  <si>
    <t xml:space="preserve">KVR Hyundai - ChargeZone</t>
  </si>
  <si>
    <t xml:space="preserve">Grand Hyundai - ChargeZone</t>
  </si>
  <si>
    <t xml:space="preserve">Kochi Marriot Hotel</t>
  </si>
  <si>
    <t xml:space="preserve">Le Meridien - ChargeZone</t>
  </si>
  <si>
    <t xml:space="preserve">MB#Coastal Star - ChargeZone</t>
  </si>
  <si>
    <t xml:space="preserve">GreenVeel - ChargeZone</t>
  </si>
  <si>
    <t xml:space="preserve">Athirampuzha - ChargeZone</t>
  </si>
  <si>
    <t xml:space="preserve">SS Hyundai - ChargeZone</t>
  </si>
  <si>
    <t xml:space="preserve">GDM Auditorium - ChargeZone</t>
  </si>
  <si>
    <t xml:space="preserve">Hotel Indraprastha - ChargeZone</t>
  </si>
  <si>
    <t xml:space="preserve">Best EVCS - ChargeMOD</t>
  </si>
  <si>
    <t xml:space="preserve">Instacharge EV Fast Charging and Cafe - ChargeZone</t>
  </si>
  <si>
    <t xml:space="preserve">Chungath Sprise Hyundai - ChargeZone</t>
  </si>
  <si>
    <t xml:space="preserve">KVE Charge - Charge-Zone</t>
  </si>
  <si>
    <t xml:space="preserve">Varkkala</t>
  </si>
  <si>
    <t xml:space="preserve">Marvel Paints - ChargeZone</t>
  </si>
  <si>
    <t xml:space="preserve">Raj Residency - Zeon</t>
  </si>
  <si>
    <t xml:space="preserve">Koodali SCB</t>
  </si>
  <si>
    <t xml:space="preserve">Co-Operqative Bank - Zeon</t>
  </si>
  <si>
    <t xml:space="preserve">Kathirur</t>
  </si>
  <si>
    <t xml:space="preserve">Down Town Mall - Zeon</t>
  </si>
  <si>
    <t xml:space="preserve">Thalasseri</t>
  </si>
  <si>
    <t xml:space="preserve">Issacs Centre Square - Zeon</t>
  </si>
  <si>
    <t xml:space="preserve">Sulthan Batheri</t>
  </si>
  <si>
    <t xml:space="preserve">Great Trails Wayanad by GRT Hotels</t>
  </si>
  <si>
    <t xml:space="preserve">Nesto Hypermarket - Zeon</t>
  </si>
  <si>
    <t xml:space="preserve">HiLite Mall - Zeon</t>
  </si>
  <si>
    <t xml:space="preserve">HiLite Business Park - Zeon</t>
  </si>
  <si>
    <t xml:space="preserve">Club Sulaimani - Zeon</t>
  </si>
  <si>
    <t xml:space="preserve">Nesto Hypermarket Zeon</t>
  </si>
  <si>
    <t xml:space="preserve">Thirur</t>
  </si>
  <si>
    <t xml:space="preserve">Emirates Mall - Zeon</t>
  </si>
  <si>
    <t xml:space="preserve">Hotel Devaragam</t>
  </si>
  <si>
    <t xml:space="preserve">Nesto Hypermarket</t>
  </si>
  <si>
    <t xml:space="preserve">Dream City Convention Center</t>
  </si>
  <si>
    <t xml:space="preserve">Pattikkad</t>
  </si>
  <si>
    <t xml:space="preserve">Chennai Ananda Bhavan</t>
  </si>
  <si>
    <t xml:space="preserve">Hilite Mall</t>
  </si>
  <si>
    <t xml:space="preserve">Mughal Mall</t>
  </si>
  <si>
    <t xml:space="preserve">Maxx Inn M Star</t>
  </si>
  <si>
    <t xml:space="preserve">Club Mahindra Resort - Cherai Beach</t>
  </si>
  <si>
    <t xml:space="preserve">Cherai</t>
  </si>
  <si>
    <t xml:space="preserve">Grand Mall</t>
  </si>
  <si>
    <t xml:space="preserve">Edappalli</t>
  </si>
  <si>
    <t xml:space="preserve">Gokul Oottupura Restaurant</t>
  </si>
  <si>
    <t xml:space="preserve">Brunton Boatyard</t>
  </si>
  <si>
    <t xml:space="preserve">Cochin</t>
  </si>
  <si>
    <t xml:space="preserve">Casino Hotel</t>
  </si>
  <si>
    <t xml:space="preserve">Hotel Ganga Grand</t>
  </si>
  <si>
    <t xml:space="preserve">Eden Wood Resorts</t>
  </si>
  <si>
    <t xml:space="preserve">Club Mahindra Aleppey Resort</t>
  </si>
  <si>
    <t xml:space="preserve">Arookutty</t>
  </si>
  <si>
    <t xml:space="preserve">CGH Marari Beach</t>
  </si>
  <si>
    <t xml:space="preserve">Mararikulam</t>
  </si>
  <si>
    <t xml:space="preserve">Cassia Restaurant</t>
  </si>
  <si>
    <t xml:space="preserve">Hotel Aida</t>
  </si>
  <si>
    <t xml:space="preserve">The Windsor Castle Hotel</t>
  </si>
  <si>
    <t xml:space="preserve">Club Mahindra Resort - Thekkadi</t>
  </si>
  <si>
    <t xml:space="preserve">RD Cinemas</t>
  </si>
  <si>
    <t xml:space="preserve">Mundakkayam</t>
  </si>
  <si>
    <t xml:space="preserve">Kanthari Restaurants</t>
  </si>
  <si>
    <t xml:space="preserve">Mannil Green Solutions</t>
  </si>
  <si>
    <t xml:space="preserve">Phills Hub - Zeon</t>
  </si>
  <si>
    <t xml:space="preserve">Wyte Portico Hotel</t>
  </si>
  <si>
    <t xml:space="preserve">Pooyappalli Service Co-Operative Bank Ltd</t>
  </si>
  <si>
    <t xml:space="preserve">N and N Station</t>
  </si>
  <si>
    <t xml:space="preserve">Amma Veedu Restaurent</t>
  </si>
  <si>
    <t xml:space="preserve">Ayoor</t>
  </si>
  <si>
    <t xml:space="preserve">DM Charging</t>
  </si>
  <si>
    <t xml:space="preserve">Parippilli</t>
  </si>
  <si>
    <t xml:space="preserve">New Indraprastha (EVOK) EVCS</t>
  </si>
  <si>
    <t xml:space="preserve">Kallambalam</t>
  </si>
  <si>
    <t xml:space="preserve">Vazhiyorakkada Hotel</t>
  </si>
  <si>
    <t xml:space="preserve">KIlimamoor</t>
  </si>
  <si>
    <t xml:space="preserve">Astro Burgers</t>
  </si>
  <si>
    <t xml:space="preserve">Edackodu Bank EVCS</t>
  </si>
  <si>
    <t xml:space="preserve">Kerala EV Vembayam</t>
  </si>
  <si>
    <t xml:space="preserve">Ultralink EVCS Charging Station</t>
  </si>
  <si>
    <t xml:space="preserve">Club Mahindra Resort Poovar</t>
  </si>
  <si>
    <t xml:space="preserve">Powerhub EVCS Attukal</t>
  </si>
  <si>
    <t xml:space="preserve">Sleeba &amp; Sons Station</t>
  </si>
  <si>
    <t xml:space="preserve">JKV Power Hub</t>
  </si>
  <si>
    <t xml:space="preserve">Hilton Garden Inn Trivandrum</t>
  </si>
  <si>
    <t xml:space="preserve">CBC Motors Charging Station</t>
  </si>
  <si>
    <t xml:space="preserve">Trivandrum Airport T1</t>
  </si>
  <si>
    <t xml:space="preserve">Trivandrum Airport T2</t>
  </si>
  <si>
    <t xml:space="preserve">V Kay Super Market</t>
  </si>
  <si>
    <t xml:space="preserve">Delta Power Kulathoor</t>
  </si>
  <si>
    <t xml:space="preserve">KIMS Hospital Trivandrum (EVOK)</t>
  </si>
  <si>
    <t xml:space="preserve">Alpha EVCS Yahoo Super Bazar</t>
  </si>
  <si>
    <t xml:space="preserve">Thiruvanthapuram</t>
  </si>
  <si>
    <t xml:space="preserve">Mansavi SuperCharge Point</t>
  </si>
  <si>
    <t xml:space="preserve">G B Nagar</t>
  </si>
  <si>
    <t xml:space="preserve">Uttar Pradesh</t>
  </si>
  <si>
    <t xml:space="preserve">Sri Sai Kanchetty Family Restaurant</t>
  </si>
  <si>
    <t xml:space="preserve">Dichpally</t>
  </si>
  <si>
    <t xml:space="preserve">Telangana</t>
  </si>
  <si>
    <t xml:space="preserve">Hotel Topline</t>
  </si>
  <si>
    <t xml:space="preserve">Dhule</t>
  </si>
  <si>
    <t xml:space="preserve">Hotel Mayur Express</t>
  </si>
  <si>
    <t xml:space="preserve">Sangamner</t>
  </si>
  <si>
    <t xml:space="preserve">FC - JioBP - The Bengal Dhaba</t>
  </si>
  <si>
    <t xml:space="preserve">Kalyani</t>
  </si>
  <si>
    <t xml:space="preserve">FC - JioBP - WBSDCL Athupur</t>
  </si>
  <si>
    <t xml:space="preserve">Barrakpore</t>
  </si>
  <si>
    <t xml:space="preserve">FC - Jio-BP - Khardaha</t>
  </si>
  <si>
    <t xml:space="preserve">Khardaha</t>
  </si>
  <si>
    <t xml:space="preserve">FC - Tata Power - Taj Raajkutir</t>
  </si>
  <si>
    <t xml:space="preserve">Azadpur Metro Station</t>
  </si>
  <si>
    <t xml:space="preserve">Delhi</t>
  </si>
  <si>
    <t xml:space="preserve">Village Vatika Restaurant And Hotel</t>
  </si>
  <si>
    <t xml:space="preserve">Danora</t>
  </si>
  <si>
    <t xml:space="preserve">Madhya Pradesh</t>
  </si>
  <si>
    <t xml:space="preserve">Vithal Kamats</t>
  </si>
  <si>
    <t xml:space="preserve">Hinganghat</t>
  </si>
  <si>
    <t xml:space="preserve">Hotel Bluemoon</t>
  </si>
  <si>
    <t xml:space="preserve">Miduthuru</t>
  </si>
  <si>
    <t xml:space="preserve">Andhra Pradesh</t>
  </si>
  <si>
    <t xml:space="preserve">DC_ULTRA_(&gt;=150kW)</t>
  </si>
  <si>
    <t xml:space="preserve">Mahaveer Ventures Hotel and Resort - The Padival Grand</t>
  </si>
  <si>
    <t xml:space="preserve">Puttur</t>
  </si>
  <si>
    <t xml:space="preserve">Silavattam Village</t>
  </si>
  <si>
    <t xml:space="preserve">Madurathakam, Chengalpattu Dt</t>
  </si>
  <si>
    <t xml:space="preserve">Tamil Nadu</t>
  </si>
  <si>
    <t xml:space="preserve">Mahalaxmi EV Charging STATION</t>
  </si>
  <si>
    <t xml:space="preserve">Gautaum Buddha Nagar</t>
  </si>
  <si>
    <t xml:space="preserve">AC_L2_(7.5-21kW)</t>
  </si>
  <si>
    <t xml:space="preserve">Baboos Triangle, Zeon Charging Station</t>
  </si>
  <si>
    <t xml:space="preserve">Kunnamkulam</t>
  </si>
  <si>
    <t xml:space="preserve">Etron Energies</t>
  </si>
  <si>
    <t xml:space="preserve">Chennai</t>
  </si>
  <si>
    <t xml:space="preserve">Regency Tiruttani by GRT Hotels</t>
  </si>
  <si>
    <t xml:space="preserve">Thiruttani</t>
  </si>
  <si>
    <t xml:space="preserve">RB Business Centre</t>
  </si>
  <si>
    <t xml:space="preserve">Vellore</t>
  </si>
  <si>
    <t xml:space="preserve">Regency Sameera Vellore by GRT Hotels</t>
  </si>
  <si>
    <t xml:space="preserve">7 Star Green Veg Restaurant</t>
  </si>
  <si>
    <t xml:space="preserve">Vaniyambadi</t>
  </si>
  <si>
    <t xml:space="preserve">Cafe Udupi Ruchi, Ulundurpet</t>
  </si>
  <si>
    <t xml:space="preserve">Ulundurpet</t>
  </si>
  <si>
    <t xml:space="preserve">Hotel Sri Anandhas</t>
  </si>
  <si>
    <t xml:space="preserve">Veppur</t>
  </si>
  <si>
    <t xml:space="preserve">Adyar Ananda Bhavan, Kallakurichi</t>
  </si>
  <si>
    <t xml:space="preserve">Kallakurichi</t>
  </si>
  <si>
    <t xml:space="preserve">Adyar Ananda Bhavan, Attur</t>
  </si>
  <si>
    <t xml:space="preserve">Attur</t>
  </si>
  <si>
    <t xml:space="preserve">Aswins Veg Restaurant</t>
  </si>
  <si>
    <t xml:space="preserve">Perambalur</t>
  </si>
  <si>
    <t xml:space="preserve">AVS Imperiaa</t>
  </si>
  <si>
    <t xml:space="preserve">Karaikal</t>
  </si>
  <si>
    <t xml:space="preserve">Puducherry</t>
  </si>
  <si>
    <t xml:space="preserve">Golden Sand</t>
  </si>
  <si>
    <t xml:space="preserve">Velankanni</t>
  </si>
  <si>
    <t xml:space="preserve">Jayaraj Karz, Vallam Pudur Sethi</t>
  </si>
  <si>
    <t xml:space="preserve">Thanjavur</t>
  </si>
  <si>
    <t xml:space="preserve">Kaveri Garage, Tiruchirapalli</t>
  </si>
  <si>
    <t xml:space="preserve">Tiruchirappalli</t>
  </si>
  <si>
    <t xml:space="preserve">Hotel Arun Cafe</t>
  </si>
  <si>
    <t xml:space="preserve">Viralimalai</t>
  </si>
  <si>
    <t xml:space="preserve">Kaveri Garage, Piratiyur</t>
  </si>
  <si>
    <t xml:space="preserve">Piratiyur</t>
  </si>
  <si>
    <t xml:space="preserve">Hotel Malar</t>
  </si>
  <si>
    <t xml:space="preserve">Karaikudi</t>
  </si>
  <si>
    <t xml:space="preserve">Regency Tuticorin by GRT Hotels</t>
  </si>
  <si>
    <t xml:space="preserve">Thoothukudi</t>
  </si>
  <si>
    <t xml:space="preserve">Pearl Garden Resort</t>
  </si>
  <si>
    <t xml:space="preserve">Veerapandianpattinam</t>
  </si>
  <si>
    <t xml:space="preserve">Sree Saravana Bhavan, Sankagiri</t>
  </si>
  <si>
    <t xml:space="preserve">Sangagiri</t>
  </si>
  <si>
    <t xml:space="preserve">Milky Mist Cafe, Erode Sathy Highway</t>
  </si>
  <si>
    <t xml:space="preserve">Erode</t>
  </si>
  <si>
    <t xml:space="preserve">Texvalley</t>
  </si>
  <si>
    <t xml:space="preserve">Victory Tata</t>
  </si>
  <si>
    <t xml:space="preserve">Sri Kongu Bakes</t>
  </si>
  <si>
    <t xml:space="preserve">Perundurai</t>
  </si>
  <si>
    <t xml:space="preserve">Junior Kuppanna</t>
  </si>
  <si>
    <t xml:space="preserve">Avinashi</t>
  </si>
  <si>
    <t xml:space="preserve">Sree Annapoorna Hotel, Avinashi</t>
  </si>
  <si>
    <t xml:space="preserve">Cafe Udupi Ruchi</t>
  </si>
  <si>
    <t xml:space="preserve">Annapoorna - NH Avinashi</t>
  </si>
  <si>
    <t xml:space="preserve">Ibex River Resort, Pollachi</t>
  </si>
  <si>
    <t xml:space="preserve">Pollachi</t>
  </si>
  <si>
    <t xml:space="preserve">Travlounge - Palakkad</t>
  </si>
  <si>
    <t xml:space="preserve">Adyar Ananda Bhavan Navakkarai</t>
  </si>
  <si>
    <t xml:space="preserve">Navakkarai</t>
  </si>
  <si>
    <t xml:space="preserve">SR Jungle Resort, Anaikatti</t>
  </si>
  <si>
    <t xml:space="preserve">Anaikatti</t>
  </si>
  <si>
    <t xml:space="preserve">Sundaram Motors Coimbatore</t>
  </si>
  <si>
    <t xml:space="preserve">Coimbatore</t>
  </si>
  <si>
    <t xml:space="preserve">Hotel Sri Mu Saravana Bhavan</t>
  </si>
  <si>
    <t xml:space="preserve">IOCL Singanallur</t>
  </si>
  <si>
    <t xml:space="preserve">PPS MG Motors</t>
  </si>
  <si>
    <t xml:space="preserve">Fairfield by Marriott Coimbatore</t>
  </si>
  <si>
    <t xml:space="preserve">Zibe Coimbatore by GRT Hotels</t>
  </si>
  <si>
    <t xml:space="preserve">3 Star Auto Care</t>
  </si>
  <si>
    <t xml:space="preserve">Ibis Coimbatore City Centre</t>
  </si>
  <si>
    <t xml:space="preserve">Zone by The Park Hotel</t>
  </si>
  <si>
    <t xml:space="preserve">Taj Vivanta Coimbatore</t>
  </si>
  <si>
    <t xml:space="preserve">Welcomhotel By ITC Hotels, Race Course, Coimbatore</t>
  </si>
  <si>
    <t xml:space="preserve">VEEV Brookfields</t>
  </si>
  <si>
    <t xml:space="preserve">Corporation Parking Lot</t>
  </si>
  <si>
    <t xml:space="preserve">PSV EV Point</t>
  </si>
  <si>
    <t xml:space="preserve">Annalakshmi Drive in</t>
  </si>
  <si>
    <t xml:space="preserve">Kotagiri</t>
  </si>
  <si>
    <t xml:space="preserve">Lakshmi Retreat</t>
  </si>
  <si>
    <t xml:space="preserve">Deccan Park Resort</t>
  </si>
  <si>
    <t xml:space="preserve">Ooty</t>
  </si>
  <si>
    <t xml:space="preserve">Sasthapuri Hotels</t>
  </si>
  <si>
    <t xml:space="preserve">Gudalur</t>
  </si>
  <si>
    <t xml:space="preserve">OM MADURAI SARAVANA BHAVAN</t>
  </si>
  <si>
    <t xml:space="preserve">Thangalacheri</t>
  </si>
  <si>
    <t xml:space="preserve">Hotel Star palace</t>
  </si>
  <si>
    <t xml:space="preserve">Rameswaram</t>
  </si>
  <si>
    <t xml:space="preserve">Tucker Rameswaram</t>
  </si>
  <si>
    <t xml:space="preserve">Rameshwaram</t>
  </si>
  <si>
    <t xml:space="preserve">Keerthi Residency</t>
  </si>
  <si>
    <t xml:space="preserve">Vani</t>
  </si>
  <si>
    <t xml:space="preserve">MDS Bakery</t>
  </si>
  <si>
    <t xml:space="preserve">Ramanathapuram</t>
  </si>
  <si>
    <t xml:space="preserve">Bheemas Nalabagam</t>
  </si>
  <si>
    <t xml:space="preserve">Hotel Coral Residency</t>
  </si>
  <si>
    <t xml:space="preserve">Chima Cars</t>
  </si>
  <si>
    <t xml:space="preserve">BPCL Manamadurai</t>
  </si>
  <si>
    <t xml:space="preserve">ManaMadurai</t>
  </si>
  <si>
    <t xml:space="preserve">Bharat Petroleum COCO Pump Thirupuvanam</t>
  </si>
  <si>
    <t xml:space="preserve">Tiruppuvanam</t>
  </si>
  <si>
    <t xml:space="preserve">Jacks Charging Station</t>
  </si>
  <si>
    <t xml:space="preserve">Madurai</t>
  </si>
  <si>
    <t xml:space="preserve">Jasmine Filling Station</t>
  </si>
  <si>
    <t xml:space="preserve">Amika Hotel, Madurai</t>
  </si>
  <si>
    <t xml:space="preserve">Ever Power Charging Station</t>
  </si>
  <si>
    <t xml:space="preserve">The Gateway Hotel Madurai</t>
  </si>
  <si>
    <t xml:space="preserve">Tucker Motors Private Limited</t>
  </si>
  <si>
    <t xml:space="preserve">Velammal Hospital and Medical College Parking - 2</t>
  </si>
  <si>
    <t xml:space="preserve">Velammal Hospital and Medical College Parking - 1</t>
  </si>
  <si>
    <t xml:space="preserve">Grand Madurai by GRT Hotels</t>
  </si>
  <si>
    <t xml:space="preserve">Regency Madurai by GRT Hotels</t>
  </si>
  <si>
    <t xml:space="preserve">JC Residency Madurai</t>
  </si>
  <si>
    <t xml:space="preserve">Courtyard by Marriott Madurai</t>
  </si>
  <si>
    <t xml:space="preserve">Zibe Salem by GRT Hotels</t>
  </si>
  <si>
    <t xml:space="preserve">Salem</t>
  </si>
  <si>
    <t xml:space="preserve">Kaveri Auto Garage, Madurai</t>
  </si>
  <si>
    <t xml:space="preserve">Aras Kia, Nagarai</t>
  </si>
  <si>
    <t xml:space="preserve">Nagari</t>
  </si>
  <si>
    <t xml:space="preserve">Hotel Temple City</t>
  </si>
  <si>
    <t xml:space="preserve">Thathampatti</t>
  </si>
  <si>
    <t xml:space="preserve">Hotel Eden Garden</t>
  </si>
  <si>
    <t xml:space="preserve">Pandiarajapuram</t>
  </si>
  <si>
    <t xml:space="preserve">Bharat Petroleum e-charge station</t>
  </si>
  <si>
    <t xml:space="preserve">Chinnalapatti</t>
  </si>
  <si>
    <t xml:space="preserve">Adyar Ananda Bhavan</t>
  </si>
  <si>
    <t xml:space="preserve">Dindigul</t>
  </si>
  <si>
    <t xml:space="preserve">Hotel PVK Grand</t>
  </si>
  <si>
    <t xml:space="preserve">Kaveri Garage, Seelapadi</t>
  </si>
  <si>
    <t xml:space="preserve">Dindugal</t>
  </si>
  <si>
    <t xml:space="preserve">Vel Saravana bhavan</t>
  </si>
  <si>
    <t xml:space="preserve">Jio BP Dindigul</t>
  </si>
  <si>
    <t xml:space="preserve">Thadikombu</t>
  </si>
  <si>
    <t xml:space="preserve">A.R. Fuels</t>
  </si>
  <si>
    <t xml:space="preserve">Thennilai</t>
  </si>
  <si>
    <t xml:space="preserve">Sri Venkateshwara Auto Fuels</t>
  </si>
  <si>
    <t xml:space="preserve">Karur</t>
  </si>
  <si>
    <t xml:space="preserve">Subbanna Hotel</t>
  </si>
  <si>
    <t xml:space="preserve">The True Saai Works Karur</t>
  </si>
  <si>
    <t xml:space="preserve">11 to 11 Family Restaurant</t>
  </si>
  <si>
    <t xml:space="preserve">Sri Nathi Restaurant</t>
  </si>
  <si>
    <t xml:space="preserve">Paramathi</t>
  </si>
  <si>
    <t xml:space="preserve">Coastal Grand Hotel</t>
  </si>
  <si>
    <t xml:space="preserve">Namakkal</t>
  </si>
  <si>
    <t xml:space="preserve">Pappinayakkanpatti</t>
  </si>
  <si>
    <t xml:space="preserve">Jio-BP Namakkal</t>
  </si>
  <si>
    <t xml:space="preserve">NEW POESH GARDEN - FAMILY RESTAURANT</t>
  </si>
  <si>
    <t xml:space="preserve">Rasipuram</t>
  </si>
  <si>
    <t xml:space="preserve">Adyar Ananda Bhavan - A2B</t>
  </si>
  <si>
    <t xml:space="preserve">Saravana Parottas</t>
  </si>
  <si>
    <t xml:space="preserve">Mallur</t>
  </si>
  <si>
    <t xml:space="preserve">Sai Annapoorna Veg</t>
  </si>
  <si>
    <t xml:space="preserve">Santhiyur</t>
  </si>
  <si>
    <t xml:space="preserve">RRK Hitech Petroleum</t>
  </si>
  <si>
    <t xml:space="preserve">The True Saai Works Salem</t>
  </si>
  <si>
    <t xml:space="preserve">MG Salem</t>
  </si>
  <si>
    <t xml:space="preserve">Salem RR Biryani</t>
  </si>
  <si>
    <t xml:space="preserve">Aasai Aasai Anandha Bhavan</t>
  </si>
  <si>
    <t xml:space="preserve">Omalur</t>
  </si>
  <si>
    <t xml:space="preserve">Anandha Bhavan</t>
  </si>
  <si>
    <t xml:space="preserve">Jio BP Pulse Salem</t>
  </si>
  <si>
    <t xml:space="preserve">Pallapatti</t>
  </si>
  <si>
    <t xml:space="preserve">Annai Ananda Bhavan Restaurant</t>
  </si>
  <si>
    <t xml:space="preserve">A.Reddihalli</t>
  </si>
  <si>
    <t xml:space="preserve">M K Agencies</t>
  </si>
  <si>
    <t xml:space="preserve">Kerakodahalli</t>
  </si>
  <si>
    <t xml:space="preserve">Italian Lounge - Cafe 66</t>
  </si>
  <si>
    <t xml:space="preserve">Sappanipatti</t>
  </si>
  <si>
    <t xml:space="preserve">The True Saai Works Krishnagiri</t>
  </si>
  <si>
    <t xml:space="preserve">Krishnagiri</t>
  </si>
  <si>
    <t xml:space="preserve">Hotel Saravana Bhavan Classic</t>
  </si>
  <si>
    <t xml:space="preserve">Hotel Saravanaa Bhava</t>
  </si>
  <si>
    <t xml:space="preserve">LAVATO - A Premium Lounge</t>
  </si>
  <si>
    <t xml:space="preserve">Junjupalli</t>
  </si>
  <si>
    <t xml:space="preserve">Hotel Saravanaa Bavaa</t>
  </si>
  <si>
    <t xml:space="preserve">Sree Saravana Bhavan Veg. Treat</t>
  </si>
  <si>
    <t xml:space="preserve">Saravana Bhavan Classic</t>
  </si>
  <si>
    <t xml:space="preserve">Sikkarimedu</t>
  </si>
  <si>
    <t xml:space="preserve">Chinnar</t>
  </si>
  <si>
    <t xml:space="preserve">DSquare Food Hub</t>
  </si>
  <si>
    <t xml:space="preserve">Sundagiri</t>
  </si>
  <si>
    <t xml:space="preserve">Jio BP Hosur - 2</t>
  </si>
  <si>
    <t xml:space="preserve">Nallaganakothapalli</t>
  </si>
  <si>
    <t xml:space="preserve">Starbucks &amp; KFC Shoolagiri</t>
  </si>
  <si>
    <t xml:space="preserve">Shoolagiri</t>
  </si>
  <si>
    <t xml:space="preserve">Jio BP Hosur</t>
  </si>
  <si>
    <t xml:space="preserve">Kamandoddi</t>
  </si>
  <si>
    <t xml:space="preserve">Siri Motors</t>
  </si>
  <si>
    <t xml:space="preserve">Hosur</t>
  </si>
  <si>
    <t xml:space="preserve">True Sai Tata</t>
  </si>
  <si>
    <t xml:space="preserve">Chennai Silks Hosur</t>
  </si>
  <si>
    <t xml:space="preserve">Unknown City</t>
  </si>
  <si>
    <t xml:space="preserve">Hotel Hills, Hosur</t>
  </si>
  <si>
    <t xml:space="preserve">Sowmya Fuel Station</t>
  </si>
  <si>
    <t xml:space="preserve">Attibele</t>
  </si>
  <si>
    <t xml:space="preserve">Electronic City - BPCL</t>
  </si>
  <si>
    <t xml:space="preserve">Bengaluru</t>
  </si>
  <si>
    <t xml:space="preserve">Monk Mansion</t>
  </si>
  <si>
    <t xml:space="preserve">BloomSuites</t>
  </si>
  <si>
    <t xml:space="preserve">Metro Cash&amp;Carry</t>
  </si>
  <si>
    <t xml:space="preserve">Zeon Charging, Sathy</t>
  </si>
  <si>
    <t xml:space="preserve">Sathyamangalam</t>
  </si>
  <si>
    <t xml:space="preserve">Hotel Masala Suruchi</t>
  </si>
  <si>
    <t xml:space="preserve">Marur Handpost</t>
  </si>
  <si>
    <t xml:space="preserve">Swathi Delicacy</t>
  </si>
  <si>
    <t xml:space="preserve">Koppa</t>
  </si>
  <si>
    <t xml:space="preserve">SRM Eshwari College</t>
  </si>
  <si>
    <t xml:space="preserve">Ramapuram Chennai</t>
  </si>
  <si>
    <t xml:space="preserve">SRM Institute of science and technology</t>
  </si>
  <si>
    <t xml:space="preserve">chennai</t>
  </si>
  <si>
    <t xml:space="preserve">Dhanyalakshmi Fuels BPCL</t>
  </si>
  <si>
    <t xml:space="preserve">Gundlupete</t>
  </si>
  <si>
    <t xml:space="preserve">Maruti Charging Station</t>
  </si>
  <si>
    <t xml:space="preserve">Karwar</t>
  </si>
  <si>
    <t xml:space="preserve">Pearl EV Fast charger</t>
  </si>
  <si>
    <t xml:space="preserve">Raichur</t>
  </si>
  <si>
    <t xml:space="preserve">SLV Hotel &amp; Family Restaurant</t>
  </si>
  <si>
    <t xml:space="preserve">Yadgir</t>
  </si>
  <si>
    <t xml:space="preserve">New Sangeeta Gardens Family Restaurant</t>
  </si>
  <si>
    <t xml:space="preserve">Sindgi Rural</t>
  </si>
  <si>
    <t xml:space="preserve">Sri Nisty Pvt</t>
  </si>
  <si>
    <t xml:space="preserve">Kalaburgi</t>
  </si>
  <si>
    <t xml:space="preserve">Aashirwaad Mangal Karyalay</t>
  </si>
  <si>
    <t xml:space="preserve">Kalaburagi</t>
  </si>
  <si>
    <t xml:space="preserve">Punjabi Dhami Hotel</t>
  </si>
  <si>
    <t xml:space="preserve">Sastapur</t>
  </si>
  <si>
    <t xml:space="preserve">Hotel BHP-6</t>
  </si>
  <si>
    <t xml:space="preserve">Humnabad</t>
  </si>
  <si>
    <t xml:space="preserve">Hotel 24</t>
  </si>
  <si>
    <t xml:space="preserve">Mannaekhelli</t>
  </si>
  <si>
    <t xml:space="preserve">Vintage Retreat Resort</t>
  </si>
  <si>
    <t xml:space="preserve">Chatnalli</t>
  </si>
  <si>
    <t xml:space="preserve">Ashoka Village Resort</t>
  </si>
  <si>
    <t xml:space="preserve">Sonakanahalli</t>
  </si>
  <si>
    <t xml:space="preserve">Bijjargi Motors</t>
  </si>
  <si>
    <t xml:space="preserve">Vijayapura</t>
  </si>
  <si>
    <t xml:space="preserve">S-Hyper Mart</t>
  </si>
  <si>
    <t xml:space="preserve">Tourist Hotel</t>
  </si>
  <si>
    <t xml:space="preserve">Managuli</t>
  </si>
  <si>
    <t xml:space="preserve">MR Residency</t>
  </si>
  <si>
    <t xml:space="preserve">Hungund</t>
  </si>
  <si>
    <t xml:space="preserve">Jio BP Mobility Station</t>
  </si>
  <si>
    <t xml:space="preserve">Ilkal</t>
  </si>
  <si>
    <t xml:space="preserve">Anand Nagar, Hyderabad</t>
  </si>
  <si>
    <t xml:space="preserve">Hyderabad</t>
  </si>
  <si>
    <t xml:space="preserve">Hotel Poorvi</t>
  </si>
  <si>
    <t xml:space="preserve">Uppaldinni</t>
  </si>
  <si>
    <t xml:space="preserve">BPCL Bagalkote</t>
  </si>
  <si>
    <t xml:space="preserve">Bagalkote</t>
  </si>
  <si>
    <t xml:space="preserve">ITC Welcome Hotel</t>
  </si>
  <si>
    <t xml:space="preserve">Belagavi</t>
  </si>
  <si>
    <t xml:space="preserve">OM EV Charging</t>
  </si>
  <si>
    <t xml:space="preserve">Mammigatti</t>
  </si>
  <si>
    <t xml:space="preserve">Jio-BP Mobility Station PD Halli</t>
  </si>
  <si>
    <t xml:space="preserve">Hagari</t>
  </si>
  <si>
    <t xml:space="preserve">Mahindra Bellary Motors</t>
  </si>
  <si>
    <t xml:space="preserve">Ballari</t>
  </si>
  <si>
    <t xml:space="preserve">Bellad Enterprises Pvt Ltd</t>
  </si>
  <si>
    <t xml:space="preserve">USHA KIRAN SERVICE STATION</t>
  </si>
  <si>
    <t xml:space="preserve">Yemmiganur</t>
  </si>
  <si>
    <t xml:space="preserve">Hotel Abode</t>
  </si>
  <si>
    <t xml:space="preserve">Mantralayam</t>
  </si>
  <si>
    <t xml:space="preserve">Miracle Dhaba</t>
  </si>
  <si>
    <t xml:space="preserve">Lithium Charging Station</t>
  </si>
  <si>
    <t xml:space="preserve">MG Motor B Narayanapura</t>
  </si>
  <si>
    <t xml:space="preserve">Trifecta Addatto</t>
  </si>
  <si>
    <t xml:space="preserve">Epitome KIA Whitefield</t>
  </si>
  <si>
    <t xml:space="preserve">BMW Deutsche Motoren</t>
  </si>
  <si>
    <t xml:space="preserve">Lithium Urban Tech Pvt Ltd</t>
  </si>
  <si>
    <t xml:space="preserve">Fairfield by Marriott, Mahadevapura</t>
  </si>
  <si>
    <t xml:space="preserve">Prestige Technostar</t>
  </si>
  <si>
    <t xml:space="preserve">KHT Brookefield</t>
  </si>
  <si>
    <t xml:space="preserve">JLR Shakti Auto</t>
  </si>
  <si>
    <t xml:space="preserve">goEgo EV CHARGE PARK</t>
  </si>
  <si>
    <t xml:space="preserve">Jio-bp Pulse Hub, Siddhapura</t>
  </si>
  <si>
    <t xml:space="preserve">DivyaSree LitBox</t>
  </si>
  <si>
    <t xml:space="preserve">Marriott Hotel Whitefield</t>
  </si>
  <si>
    <t xml:space="preserve">Nexus Shantiniketan Jio-BP</t>
  </si>
  <si>
    <t xml:space="preserve">Nexus Shantiniketan - Statiq</t>
  </si>
  <si>
    <t xml:space="preserve">Sheraton Grand Bengaluru Whitefield Hotel &amp; Convention Center</t>
  </si>
  <si>
    <t xml:space="preserve">Divyasree NR Enclave</t>
  </si>
  <si>
    <t xml:space="preserve">Park Square Mall</t>
  </si>
  <si>
    <t xml:space="preserve">Taj Vivanta Whitefield</t>
  </si>
  <si>
    <t xml:space="preserve">The Zinc By Fern Hotels</t>
  </si>
  <si>
    <t xml:space="preserve">Nexus Whitefield Statiq</t>
  </si>
  <si>
    <t xml:space="preserve">Nexus Whitefield Jio-BP</t>
  </si>
  <si>
    <t xml:space="preserve">Forum South Bengaluru</t>
  </si>
  <si>
    <t xml:space="preserve">Global Mall, Okalipuram</t>
  </si>
  <si>
    <t xml:space="preserve">Freedom Park</t>
  </si>
  <si>
    <t xml:space="preserve">Jio-BP Pulse Varthur Hub</t>
  </si>
  <si>
    <t xml:space="preserve">Jio-BP Pulse Hub, Marathalli</t>
  </si>
  <si>
    <t xml:space="preserve">Exora Business Park</t>
  </si>
  <si>
    <t xml:space="preserve">Aloft Bengaluru Outer Ring Road</t>
  </si>
  <si>
    <t xml:space="preserve">Bellandur Charging Hub</t>
  </si>
  <si>
    <t xml:space="preserve">Big Pitcher Sarjapur Road</t>
  </si>
  <si>
    <t xml:space="preserve">RMZ Eco World</t>
  </si>
  <si>
    <t xml:space="preserve">The Bay at Ecoworld</t>
  </si>
  <si>
    <t xml:space="preserve">Courtyard by Marriott</t>
  </si>
  <si>
    <t xml:space="preserve">DoubleTree Suites by Hilton Bengaluru Outer Ring Road</t>
  </si>
  <si>
    <t xml:space="preserve">Key Motors</t>
  </si>
  <si>
    <t xml:space="preserve">Kanakapura</t>
  </si>
  <si>
    <t xml:space="preserve">Manikanta Filling Centre BPCL</t>
  </si>
  <si>
    <t xml:space="preserve">Harohalli</t>
  </si>
  <si>
    <t xml:space="preserve">MG Motor Hosur Road</t>
  </si>
  <si>
    <t xml:space="preserve">Kropex Auto, Hosur Road</t>
  </si>
  <si>
    <t xml:space="preserve">Metropolis Gurukrupa</t>
  </si>
  <si>
    <t xml:space="preserve">More Hypermarket, Hosur Road</t>
  </si>
  <si>
    <t xml:space="preserve">Prerana Motors, Hongasandra</t>
  </si>
  <si>
    <t xml:space="preserve">Pratham Motors</t>
  </si>
  <si>
    <t xml:space="preserve">Divija EV charging Station</t>
  </si>
  <si>
    <t xml:space="preserve">Bengaluru One, Old Airport Road</t>
  </si>
  <si>
    <t xml:space="preserve">KTC Legacy Charging Station</t>
  </si>
  <si>
    <t xml:space="preserve">Bangalore</t>
  </si>
  <si>
    <t xml:space="preserve">Divyashree Greens</t>
  </si>
  <si>
    <t xml:space="preserve">Carzonrent</t>
  </si>
  <si>
    <t xml:space="preserve">The Park Hotel</t>
  </si>
  <si>
    <t xml:space="preserve">Taj MG Road</t>
  </si>
  <si>
    <t xml:space="preserve">The Oberoi, Bengaluru</t>
  </si>
  <si>
    <t xml:space="preserve">The Pavilion 2</t>
  </si>
  <si>
    <t xml:space="preserve">Anant Cars Bannerghatta Road</t>
  </si>
  <si>
    <t xml:space="preserve">Key Motors, Bannerghatta Road</t>
  </si>
  <si>
    <t xml:space="preserve">Royal Meenakshi Mall</t>
  </si>
  <si>
    <t xml:space="preserve">Key Motors, Kanakapura Main Road</t>
  </si>
  <si>
    <t xml:space="preserve">BESCOM Rajarajeshwari Nagar</t>
  </si>
  <si>
    <t xml:space="preserve">BESCOM Byatarayanapura</t>
  </si>
  <si>
    <t xml:space="preserve">Welcomhotel Richmond Road</t>
  </si>
  <si>
    <t xml:space="preserve">Vivanta by Taj Residency Road</t>
  </si>
  <si>
    <t xml:space="preserve">Forum Rex Walk</t>
  </si>
  <si>
    <t xml:space="preserve">BMW Navnit Motors</t>
  </si>
  <si>
    <t xml:space="preserve">Hotel Southern Star</t>
  </si>
  <si>
    <t xml:space="preserve">Sundaram Motors</t>
  </si>
  <si>
    <t xml:space="preserve">JW Marriott</t>
  </si>
  <si>
    <t xml:space="preserve">Audi Central</t>
  </si>
  <si>
    <t xml:space="preserve">Manjunath Fuel Service-BPCL</t>
  </si>
  <si>
    <t xml:space="preserve">Surahonne</t>
  </si>
  <si>
    <t xml:space="preserve">Indira Nagar</t>
  </si>
  <si>
    <t xml:space="preserve">Ahmednagar</t>
  </si>
  <si>
    <t xml:space="preserve">CAFE PARADISE FAMILY RESTAURANT</t>
  </si>
  <si>
    <t xml:space="preserve">Ramnagar</t>
  </si>
  <si>
    <t xml:space="preserve">Arthigamaya Spa &amp; Resort</t>
  </si>
  <si>
    <t xml:space="preserve">Gokarna</t>
  </si>
  <si>
    <t xml:space="preserve">M/S T.S Tawady - BPCL</t>
  </si>
  <si>
    <t xml:space="preserve">Siddapur</t>
  </si>
  <si>
    <t xml:space="preserve">S.G. Enterprises BPCL</t>
  </si>
  <si>
    <t xml:space="preserve">Byndoor</t>
  </si>
  <si>
    <t xml:space="preserve">Rajani Fuel Centre</t>
  </si>
  <si>
    <t xml:space="preserve">Tallur</t>
  </si>
  <si>
    <t xml:space="preserve">Ashitha Enterprises BPCL</t>
  </si>
  <si>
    <t xml:space="preserve">Sasthan</t>
  </si>
  <si>
    <t xml:space="preserve">Krupa Motors &amp; Fuels</t>
  </si>
  <si>
    <t xml:space="preserve">Hebri</t>
  </si>
  <si>
    <t xml:space="preserve">WheelsDrive Charger, Bajagoly</t>
  </si>
  <si>
    <t xml:space="preserve">Bajagoly</t>
  </si>
  <si>
    <t xml:space="preserve">Vibrant PU College</t>
  </si>
  <si>
    <t xml:space="preserve">Mudbidri</t>
  </si>
  <si>
    <t xml:space="preserve">Hotel Indraprastha</t>
  </si>
  <si>
    <t xml:space="preserve">Baragur</t>
  </si>
  <si>
    <t xml:space="preserve">Sundaram Motors Mercedes-Benz</t>
  </si>
  <si>
    <t xml:space="preserve">Mangaluru</t>
  </si>
  <si>
    <t xml:space="preserve">Adishakti Cars, Hebbal</t>
  </si>
  <si>
    <t xml:space="preserve">Sixth Gear Cars</t>
  </si>
  <si>
    <t xml:space="preserve">Orion Avenue</t>
  </si>
  <si>
    <t xml:space="preserve">Gokulam Grand Hotel &amp; Spa</t>
  </si>
  <si>
    <t xml:space="preserve">Elements Mall</t>
  </si>
  <si>
    <t xml:space="preserve">Jio BP Charging Hub Chikkagubbi</t>
  </si>
  <si>
    <t xml:space="preserve">Jaguar Land Rover Cars Airport Road</t>
  </si>
  <si>
    <t xml:space="preserve">Jio BP Chikkajala</t>
  </si>
  <si>
    <t xml:space="preserve">Moxy Bengaluru Airport Prestige Tech Cloud</t>
  </si>
  <si>
    <t xml:space="preserve">Click Hotel Sadahalli</t>
  </si>
  <si>
    <t xml:space="preserve">Sadahalli</t>
  </si>
  <si>
    <t xml:space="preserve">Mulberry Shades Bengaluru Nandi Hills</t>
  </si>
  <si>
    <t xml:space="preserve">Devanahally</t>
  </si>
  <si>
    <t xml:space="preserve">JW Marriott Bengaluru Prestige Golfshire Resort &amp; Spa</t>
  </si>
  <si>
    <t xml:space="preserve">Devanahall</t>
  </si>
  <si>
    <t xml:space="preserve">Taj Bangalore</t>
  </si>
  <si>
    <t xml:space="preserve">Shell Recharge Devanahalli</t>
  </si>
  <si>
    <t xml:space="preserve">Devanahalli</t>
  </si>
  <si>
    <t xml:space="preserve">GLIDA Charging Hub</t>
  </si>
  <si>
    <t xml:space="preserve">GAIL Gas Station -Tata Power</t>
  </si>
  <si>
    <t xml:space="preserve">Orion Uptown Mall</t>
  </si>
  <si>
    <t xml:space="preserve">Kia India Training Center</t>
  </si>
  <si>
    <t xml:space="preserve">ITC Gardenia Bengaluru</t>
  </si>
  <si>
    <t xml:space="preserve">Divyasree Chambers</t>
  </si>
  <si>
    <t xml:space="preserve">ibis Bengaluru City Centre</t>
  </si>
  <si>
    <t xml:space="preserve">Club Mahindra Madikeri</t>
  </si>
  <si>
    <t xml:space="preserve">Madikeri</t>
  </si>
  <si>
    <t xml:space="preserve">Hotel Varun Mansion</t>
  </si>
  <si>
    <t xml:space="preserve">Boovanahalli</t>
  </si>
  <si>
    <t xml:space="preserve">Hotel Kadamba Veg</t>
  </si>
  <si>
    <t xml:space="preserve">Bolt.Earth Charging Station</t>
  </si>
  <si>
    <t xml:space="preserve">Bharathi Nagara</t>
  </si>
  <si>
    <t xml:space="preserve">Nagalakshmi Fuel Station</t>
  </si>
  <si>
    <t xml:space="preserve">Adarsh Kia - Mysore</t>
  </si>
  <si>
    <t xml:space="preserve">The Quorum Hotel</t>
  </si>
  <si>
    <t xml:space="preserve">Southern Star Mysore</t>
  </si>
  <si>
    <t xml:space="preserve">Urs Kar, Krishnamurthy Puram</t>
  </si>
  <si>
    <t xml:space="preserve">Hotel Siddharta</t>
  </si>
  <si>
    <t xml:space="preserve">Nexus Centre City</t>
  </si>
  <si>
    <t xml:space="preserve">Ganapati Fuel Station</t>
  </si>
  <si>
    <t xml:space="preserve">GRS Fantasy Park</t>
  </si>
  <si>
    <t xml:space="preserve">Akshaya Motors</t>
  </si>
  <si>
    <t xml:space="preserve">Sri Manjunatha Fuel Station</t>
  </si>
  <si>
    <t xml:space="preserve">Nelyadi</t>
  </si>
  <si>
    <t xml:space="preserve">GL ONE MALL</t>
  </si>
  <si>
    <t xml:space="preserve">A.R.M Kia</t>
  </si>
  <si>
    <t xml:space="preserve">Cauvery Motors, Mangalore</t>
  </si>
  <si>
    <t xml:space="preserve">St Joseph Service Centre</t>
  </si>
  <si>
    <t xml:space="preserve">Fiza by Nexus Mall</t>
  </si>
  <si>
    <t xml:space="preserve">Vivanta Mangalore, Old Port Road</t>
  </si>
  <si>
    <t xml:space="preserve">Auto Matrix, Bejai</t>
  </si>
  <si>
    <t xml:space="preserve">Mescom Substation Bejai</t>
  </si>
  <si>
    <t xml:space="preserve">Sowkar M Baba Pai &amp; Co</t>
  </si>
  <si>
    <t xml:space="preserve">MG Motor Jubilant Motors</t>
  </si>
  <si>
    <t xml:space="preserve">Ginger Hotel</t>
  </si>
  <si>
    <t xml:space="preserve">Audi Mangaluru</t>
  </si>
  <si>
    <t xml:space="preserve">J B Fuel Station</t>
  </si>
  <si>
    <t xml:space="preserve">Deepak Sales and Services - BPCL Petrol Pump</t>
  </si>
  <si>
    <t xml:space="preserve">Panambur</t>
  </si>
  <si>
    <t xml:space="preserve">Royal Orchid Central Kireeti</t>
  </si>
  <si>
    <t xml:space="preserve">Hosapete</t>
  </si>
  <si>
    <t xml:space="preserve">HR Motel</t>
  </si>
  <si>
    <t xml:space="preserve">Yaragatti</t>
  </si>
  <si>
    <t xml:space="preserve">Jio-BP Petrol Pump</t>
  </si>
  <si>
    <t xml:space="preserve">Chikkalagudda</t>
  </si>
  <si>
    <t xml:space="preserve">Hotel Paradise</t>
  </si>
  <si>
    <t xml:space="preserve">Sulgaon</t>
  </si>
  <si>
    <t xml:space="preserve">Gogte Plaza</t>
  </si>
  <si>
    <t xml:space="preserve">RR Mall Belagavi</t>
  </si>
  <si>
    <t xml:space="preserve">Hotel Ramdev</t>
  </si>
  <si>
    <t xml:space="preserve">UK27 The Fern - An Ecotel Hotel, Belagavi</t>
  </si>
  <si>
    <t xml:space="preserve">Pai Resorts</t>
  </si>
  <si>
    <t xml:space="preserve">Manickbag Automobiles, Belagavi</t>
  </si>
  <si>
    <t xml:space="preserve">Miraculum Kia</t>
  </si>
  <si>
    <t xml:space="preserve">BPCL Goral Petroleum</t>
  </si>
  <si>
    <t xml:space="preserve">Shri Mahalingeshwar Petroleums</t>
  </si>
  <si>
    <t xml:space="preserve">Hotel Gajaraj Palace</t>
  </si>
  <si>
    <t xml:space="preserve">Kittur</t>
  </si>
  <si>
    <t xml:space="preserve">Nisarga Family Restaurant</t>
  </si>
  <si>
    <t xml:space="preserve">Chalageri</t>
  </si>
  <si>
    <t xml:space="preserve">Raastha Resto Bar</t>
  </si>
  <si>
    <t xml:space="preserve">Davanagere</t>
  </si>
  <si>
    <t xml:space="preserve">Kahaani - The Food Journey</t>
  </si>
  <si>
    <t xml:space="preserve">Mahindra Mahanth Motors</t>
  </si>
  <si>
    <t xml:space="preserve">TSS Super Market, Sirsi</t>
  </si>
  <si>
    <t xml:space="preserve">Sirsi</t>
  </si>
  <si>
    <t xml:space="preserve">Shiva Hotel</t>
  </si>
  <si>
    <t xml:space="preserve">Harihar</t>
  </si>
  <si>
    <t xml:space="preserve">Adishakti Cars</t>
  </si>
  <si>
    <t xml:space="preserve">Hotel Anand Vihar</t>
  </si>
  <si>
    <t xml:space="preserve">Hulikere</t>
  </si>
  <si>
    <t xml:space="preserve">Akshara Pure Veg</t>
  </si>
  <si>
    <t xml:space="preserve">Aimangala</t>
  </si>
  <si>
    <t xml:space="preserve">Purohit Hotel</t>
  </si>
  <si>
    <t xml:space="preserve">Hiriyur</t>
  </si>
  <si>
    <t xml:space="preserve">Dakshin Motors - TATA Service Center</t>
  </si>
  <si>
    <t xml:space="preserve">Hiriyur Rural</t>
  </si>
  <si>
    <t xml:space="preserve">Hotel Aroma Natural Veg</t>
  </si>
  <si>
    <t xml:space="preserve">Javagondnahalli</t>
  </si>
  <si>
    <t xml:space="preserve">Sree Auto, Tumkur</t>
  </si>
  <si>
    <t xml:space="preserve">Tumakuru</t>
  </si>
  <si>
    <t xml:space="preserve">Ghar Ka Khana</t>
  </si>
  <si>
    <t xml:space="preserve">Hale Nijagal</t>
  </si>
  <si>
    <t xml:space="preserve">Deol Punjabi Hotel &amp; Lodge</t>
  </si>
  <si>
    <t xml:space="preserve">Kunabev</t>
  </si>
  <si>
    <t xml:space="preserve">MG Motor Bellad</t>
  </si>
  <si>
    <t xml:space="preserve">Hubballi</t>
  </si>
  <si>
    <t xml:space="preserve">Salimath Engineers</t>
  </si>
  <si>
    <t xml:space="preserve">Shreya Stellar Mall</t>
  </si>
  <si>
    <t xml:space="preserve">Sai Ganesh Restaurant</t>
  </si>
  <si>
    <t xml:space="preserve">Hubli</t>
  </si>
  <si>
    <t xml:space="preserve">Hotel Panchavati</t>
  </si>
  <si>
    <t xml:space="preserve">Munavalli</t>
  </si>
  <si>
    <t xml:space="preserve">TSS Super Market, Mundagod</t>
  </si>
  <si>
    <t xml:space="preserve">Mundgod</t>
  </si>
  <si>
    <t xml:space="preserve">TSS Super market</t>
  </si>
  <si>
    <t xml:space="preserve">Yellapur</t>
  </si>
  <si>
    <t xml:space="preserve">Hotel Lavender Elite</t>
  </si>
  <si>
    <t xml:space="preserve">Honnavar</t>
  </si>
  <si>
    <t xml:space="preserve">Shreekumar Residency</t>
  </si>
  <si>
    <t xml:space="preserve">Jyothis Residency</t>
  </si>
  <si>
    <t xml:space="preserve">Kollur</t>
  </si>
  <si>
    <t xml:space="preserve">Hotel Sharada Comforts</t>
  </si>
  <si>
    <t xml:space="preserve">Sringeri</t>
  </si>
  <si>
    <t xml:space="preserve">The Grand Krishna Hotel</t>
  </si>
  <si>
    <t xml:space="preserve">Chikkamagaluru</t>
  </si>
  <si>
    <t xml:space="preserve">Hotel Aadrika</t>
  </si>
  <si>
    <t xml:space="preserve">Jio BP Pulse - Mettupalayam</t>
  </si>
  <si>
    <t xml:space="preserve">Mettupalayam</t>
  </si>
  <si>
    <t xml:space="preserve">Wellington Gymkhana Club</t>
  </si>
  <si>
    <t xml:space="preserve">Wellington</t>
  </si>
  <si>
    <t xml:space="preserve">Gateway Coonoor</t>
  </si>
  <si>
    <t xml:space="preserve">Coonoo</t>
  </si>
  <si>
    <t xml:space="preserve">Welcome Heritage Ayatana, Ooty</t>
  </si>
  <si>
    <t xml:space="preserve">Muttinadu</t>
  </si>
  <si>
    <t xml:space="preserve">Club Mahindra Resort - Derby Green, Ooty</t>
  </si>
  <si>
    <t xml:space="preserve">Sterling Ooty - Fern Hill</t>
  </si>
  <si>
    <t xml:space="preserve">Hotel Gem Park</t>
  </si>
  <si>
    <t xml:space="preserve">Savoy, Ooty - IHCL SeleQtions</t>
  </si>
  <si>
    <t xml:space="preserve">MC Resort Bandipura</t>
  </si>
  <si>
    <t xml:space="preserve">Melukamanahally</t>
  </si>
  <si>
    <t xml:space="preserve">Vana Vihar Resort Bandipur</t>
  </si>
  <si>
    <t xml:space="preserve">Mel Kamanahalli</t>
  </si>
  <si>
    <t xml:space="preserve">Shivalli Restaurant 1</t>
  </si>
  <si>
    <t xml:space="preserve">Channapatna</t>
  </si>
  <si>
    <t xml:space="preserve">Eagleton The Golf Resort</t>
  </si>
  <si>
    <t xml:space="preserve">Bidadi</t>
  </si>
  <si>
    <t xml:space="preserve">ibis Bengaluru Hosur Road</t>
  </si>
  <si>
    <t xml:space="preserve">Blusmart Charging Station (HSR Hub)</t>
  </si>
  <si>
    <t xml:space="preserve">La Maison Citroën Hosur Road, Bengaluru</t>
  </si>
  <si>
    <t xml:space="preserve">JioBP Pulse Charging Hub - Electronic City Phase II</t>
  </si>
  <si>
    <t xml:space="preserve">Jio BP Chandapura</t>
  </si>
  <si>
    <t xml:space="preserve">Blusmart Charging Station Electronic City Phase 1</t>
  </si>
  <si>
    <t xml:space="preserve">Blusmart Charging Station (Gottigere Hub)</t>
  </si>
  <si>
    <t xml:space="preserve">Shell Recharge Advaith Hyundai Mysuru</t>
  </si>
  <si>
    <t xml:space="preserve">Shell Recharge Advaith Hyundai Mangaluru</t>
  </si>
  <si>
    <t xml:space="preserve">Shell Recharge Heggeri Dharwad</t>
  </si>
  <si>
    <t xml:space="preserve">Belur</t>
  </si>
  <si>
    <t xml:space="preserve">Shell Recharge Pale</t>
  </si>
  <si>
    <t xml:space="preserve">Shell Recharge Anekal Road</t>
  </si>
  <si>
    <t xml:space="preserve">Naganaikanahalli</t>
  </si>
  <si>
    <t xml:space="preserve">Shell Recharge, Chandapura</t>
  </si>
  <si>
    <t xml:space="preserve">Shell Recharge Kanakapura Road</t>
  </si>
  <si>
    <t xml:space="preserve">Shell Recharge Yelachenahalli</t>
  </si>
  <si>
    <t xml:space="preserve">Shell Recharge Gokare Road</t>
  </si>
  <si>
    <t xml:space="preserve">Shell Recharge Haralur</t>
  </si>
  <si>
    <t xml:space="preserve">Shell Recharge Marathahalli</t>
  </si>
  <si>
    <t xml:space="preserve">Shell Recharge Prestige Tech Park</t>
  </si>
  <si>
    <t xml:space="preserve">Shell Recharge Bagmane Solarium</t>
  </si>
  <si>
    <t xml:space="preserve">Shell Recharge Prestige Shantiniketan</t>
  </si>
  <si>
    <t xml:space="preserve">Shell Recharge Brookfield</t>
  </si>
  <si>
    <t xml:space="preserve">Shell Recharge Avalahalli</t>
  </si>
  <si>
    <t xml:space="preserve">Bandapura</t>
  </si>
  <si>
    <t xml:space="preserve">Shell Recharge Budigere</t>
  </si>
  <si>
    <t xml:space="preserve">Shell Recharge Mahadeva Kodigehalli</t>
  </si>
  <si>
    <t xml:space="preserve">Shell Recharge Old Madras Road</t>
  </si>
  <si>
    <t xml:space="preserve">Shell Recharge TC Palya</t>
  </si>
  <si>
    <t xml:space="preserve">Shell Recharge Thanisandra</t>
  </si>
  <si>
    <t xml:space="preserve">Shell Recharge Hennur</t>
  </si>
  <si>
    <t xml:space="preserve">Shell Recharge Kogilu Road</t>
  </si>
  <si>
    <t xml:space="preserve">Shell Yelahanka New Town</t>
  </si>
  <si>
    <t xml:space="preserve">MG Motor Mysuru</t>
  </si>
  <si>
    <t xml:space="preserve">Shell Recharge Mandakalli</t>
  </si>
  <si>
    <t xml:space="preserve">Gudumadanahalli</t>
  </si>
  <si>
    <t xml:space="preserve">Shell Recharge Hinkal</t>
  </si>
  <si>
    <t xml:space="preserve">Highway Star Mall</t>
  </si>
  <si>
    <t xml:space="preserve">Vadagur</t>
  </si>
  <si>
    <t xml:space="preserve">Aaradhya Grand "Mulbagal Dosa"</t>
  </si>
  <si>
    <t xml:space="preserve">Kolar</t>
  </si>
  <si>
    <t xml:space="preserve">Hotel Guruprasad Veg</t>
  </si>
  <si>
    <t xml:space="preserve">Chitradurga</t>
  </si>
  <si>
    <t xml:space="preserve">Paakashala Sira</t>
  </si>
  <si>
    <t xml:space="preserve">Sira</t>
  </si>
  <si>
    <t xml:space="preserve">Samara's Veg</t>
  </si>
  <si>
    <t xml:space="preserve">Bagepalli</t>
  </si>
  <si>
    <t xml:space="preserve">Hotel Nanjundeshwara</t>
  </si>
  <si>
    <t xml:space="preserve">Pandithanahalli</t>
  </si>
  <si>
    <t xml:space="preserve">Shepra Farms</t>
  </si>
  <si>
    <t xml:space="preserve">Kollegala</t>
  </si>
  <si>
    <t xml:space="preserve">Mulki Sunder Ram Shetty Convention Centre</t>
  </si>
  <si>
    <t xml:space="preserve">Mulki</t>
  </si>
  <si>
    <t xml:space="preserve">Club Mahindra Resort - Virajpet</t>
  </si>
  <si>
    <t xml:space="preserve">Virajpet</t>
  </si>
  <si>
    <t xml:space="preserve">Hotel Sharadha International</t>
  </si>
  <si>
    <t xml:space="preserve">Udupi</t>
  </si>
  <si>
    <t xml:space="preserve">Paradise Isle Beach Resort</t>
  </si>
  <si>
    <t xml:space="preserve">Malpe Fish Trade Center</t>
  </si>
  <si>
    <t xml:space="preserve">Kaustubha Residency</t>
  </si>
  <si>
    <t xml:space="preserve">Wonderla Bengaluru</t>
  </si>
  <si>
    <t xml:space="preserve">Poojari’s Nirantara</t>
  </si>
  <si>
    <t xml:space="preserve">Jayapura, Mysuru</t>
  </si>
  <si>
    <t xml:space="preserve">Urs Cars, Hinkal</t>
  </si>
  <si>
    <t xml:space="preserve">Urs Kar Service Centre Pvt Ltd, Hebbal</t>
  </si>
  <si>
    <t xml:space="preserve">Ibis Styles Mysuru</t>
  </si>
  <si>
    <t xml:space="preserve">Grand Mercure Mysore</t>
  </si>
  <si>
    <t xml:space="preserve">Mall Of Mysore</t>
  </si>
  <si>
    <t xml:space="preserve">Metropolis Gurukrupa Apartment</t>
  </si>
  <si>
    <t xml:space="preserve">RMZ EcoWorld</t>
  </si>
  <si>
    <t xml:space="preserve">Novotel Bengaluru Outer Ring Road</t>
  </si>
  <si>
    <t xml:space="preserve">Kabra Excelsior</t>
  </si>
  <si>
    <t xml:space="preserve">Nexus Mall Koramangala</t>
  </si>
  <si>
    <t xml:space="preserve">Grand Mercure Bengaluru</t>
  </si>
  <si>
    <t xml:space="preserve">RMZ Infinity</t>
  </si>
  <si>
    <t xml:space="preserve">RMZ MILLENIA</t>
  </si>
  <si>
    <t xml:space="preserve">Radisson Bengaluru City Center</t>
  </si>
  <si>
    <t xml:space="preserve">The Rialto Hotel</t>
  </si>
  <si>
    <t xml:space="preserve">GT World Mall</t>
  </si>
  <si>
    <t xml:space="preserve">Sheraton Grand Bangalore Hotel at Brigade Gateway</t>
  </si>
  <si>
    <t xml:space="preserve">Orion Brigade Gateway</t>
  </si>
  <si>
    <t xml:space="preserve">Orion Mall Outside</t>
  </si>
  <si>
    <t xml:space="preserve">Prerana Motors, Rajaji Nagar</t>
  </si>
  <si>
    <t xml:space="preserve">Taj Yeshwantpur</t>
  </si>
  <si>
    <t xml:space="preserve">IKEA Bengaluru</t>
  </si>
  <si>
    <t xml:space="preserve">SS CoCo Nest Luxury Service Apartments</t>
  </si>
  <si>
    <t xml:space="preserve">Sree Auto, Tiptur</t>
  </si>
  <si>
    <t xml:space="preserve">Tiptur</t>
  </si>
  <si>
    <t xml:space="preserve">KTC Hotel</t>
  </si>
  <si>
    <t xml:space="preserve">Rajathadripura</t>
  </si>
  <si>
    <t xml:space="preserve">Paakashala @ TBegur</t>
  </si>
  <si>
    <t xml:space="preserve">TBegur</t>
  </si>
  <si>
    <t xml:space="preserve">Saviruchi Veg</t>
  </si>
  <si>
    <t xml:space="preserve">Malavalli</t>
  </si>
  <si>
    <t xml:space="preserve">The Rove Kodagu</t>
  </si>
  <si>
    <t xml:space="preserve">Napoklu</t>
  </si>
  <si>
    <t xml:space="preserve">Ambatty Greens Resort</t>
  </si>
  <si>
    <t xml:space="preserve">Kodagu Planter's Club</t>
  </si>
  <si>
    <t xml:space="preserve">Gonikoppa</t>
  </si>
  <si>
    <t xml:space="preserve">Taj Madikeri Resort &amp; Spa</t>
  </si>
  <si>
    <t xml:space="preserve">Church Side Bar &amp; Restuarant</t>
  </si>
  <si>
    <t xml:space="preserve">Tata Motors - URS KAR</t>
  </si>
  <si>
    <t xml:space="preserve">Guddehosuru</t>
  </si>
  <si>
    <t xml:space="preserve">Purple Palms Resort &amp; Spa</t>
  </si>
  <si>
    <t xml:space="preserve">Kushalnagar</t>
  </si>
  <si>
    <t xml:space="preserve">Siri Ambari Resorts and Spa</t>
  </si>
  <si>
    <t xml:space="preserve">Manchadevanahalli</t>
  </si>
  <si>
    <t xml:space="preserve">Hotel Four Seasons</t>
  </si>
  <si>
    <t xml:space="preserve">Kundanahalli</t>
  </si>
  <si>
    <t xml:space="preserve">Udupi Utsav</t>
  </si>
  <si>
    <t xml:space="preserve">Sundahalli</t>
  </si>
  <si>
    <t xml:space="preserve">Siri Restaurant</t>
  </si>
  <si>
    <t xml:space="preserve">Mathikere</t>
  </si>
  <si>
    <t xml:space="preserve">Hotel Indradhanush</t>
  </si>
  <si>
    <t xml:space="preserve">Shivalli Chowki Restaurant</t>
  </si>
  <si>
    <t xml:space="preserve">SM Infra Foods</t>
  </si>
  <si>
    <t xml:space="preserve">KEVAL Charging Station</t>
  </si>
  <si>
    <t xml:space="preserve">Renaissance Bengaluru Race Course Hotel</t>
  </si>
  <si>
    <t xml:space="preserve">Shell Recharge Yeshwantpur</t>
  </si>
  <si>
    <t xml:space="preserve">VST Central KIA</t>
  </si>
  <si>
    <t xml:space="preserve">Jio BP Pulse</t>
  </si>
  <si>
    <t xml:space="preserve">Shell Recharge Mysore Road</t>
  </si>
  <si>
    <t xml:space="preserve">Gateway by Taj</t>
  </si>
  <si>
    <t xml:space="preserve">Grower's Cafe</t>
  </si>
  <si>
    <t xml:space="preserve">Cheekanahalli</t>
  </si>
  <si>
    <t xml:space="preserve">Audi Service Center</t>
  </si>
  <si>
    <t xml:space="preserve">Verna</t>
  </si>
  <si>
    <t xml:space="preserve">Goa</t>
  </si>
  <si>
    <t xml:space="preserve">1930 Vasco Mall</t>
  </si>
  <si>
    <t xml:space="preserve">Vasco Da Gama</t>
  </si>
  <si>
    <t xml:space="preserve">Magsons Supermarket</t>
  </si>
  <si>
    <t xml:space="preserve">Royal Orchid Beach Resort &amp; Spa</t>
  </si>
  <si>
    <t xml:space="preserve">Utorda</t>
  </si>
  <si>
    <t xml:space="preserve">Fortune Resort Benaulim</t>
  </si>
  <si>
    <t xml:space="preserve">Benaulim</t>
  </si>
  <si>
    <t xml:space="preserve">The St. Regis Resort</t>
  </si>
  <si>
    <t xml:space="preserve">Cavelossim</t>
  </si>
  <si>
    <t xml:space="preserve">Hotel Elite</t>
  </si>
  <si>
    <t xml:space="preserve">Mallinathapura</t>
  </si>
  <si>
    <t xml:space="preserve">Hotel Ankola International</t>
  </si>
  <si>
    <t xml:space="preserve">Ankola</t>
  </si>
  <si>
    <t xml:space="preserve">Hotel Sagar Residency</t>
  </si>
  <si>
    <t xml:space="preserve">Shrreyas Inn Hemmadi</t>
  </si>
  <si>
    <t xml:space="preserve">Kundapura</t>
  </si>
  <si>
    <t xml:space="preserve">Manipal INN</t>
  </si>
  <si>
    <t xml:space="preserve">Hotel K1</t>
  </si>
  <si>
    <t xml:space="preserve">Kaup</t>
  </si>
  <si>
    <t xml:space="preserve">Ayodhya pure veg</t>
  </si>
  <si>
    <t xml:space="preserve">Karkala</t>
  </si>
  <si>
    <t xml:space="preserve">Hotel Birwa Nelyadi</t>
  </si>
  <si>
    <t xml:space="preserve">Hotel Aditya View</t>
  </si>
  <si>
    <t xml:space="preserve">Nidle</t>
  </si>
  <si>
    <t xml:space="preserve">Kengeri Charging Hub</t>
  </si>
  <si>
    <t xml:space="preserve">Akshaya Motors Mercedes-Benz</t>
  </si>
  <si>
    <t xml:space="preserve">MEI EV charging hub</t>
  </si>
  <si>
    <t xml:space="preserve">Shell Recharge Tumkur Road</t>
  </si>
  <si>
    <t xml:space="preserve">Jio BP Nelamangala</t>
  </si>
  <si>
    <t xml:space="preserve">Arasinakunte</t>
  </si>
  <si>
    <t xml:space="preserve">Hana Impireal 75 Restaurant</t>
  </si>
  <si>
    <t xml:space="preserve">Kunigal</t>
  </si>
  <si>
    <t xml:space="preserve">Hotel Empire Kunigal</t>
  </si>
  <si>
    <t xml:space="preserve">Paakashala @ Yediyur</t>
  </si>
  <si>
    <t xml:space="preserve">Hotel Mayur Veg</t>
  </si>
  <si>
    <t xml:space="preserve">Dharnika Comforts Bar &amp; Family Restaurant</t>
  </si>
  <si>
    <t xml:space="preserve">Yediyuru</t>
  </si>
  <si>
    <t xml:space="preserve">Hotel Vaishali</t>
  </si>
  <si>
    <t xml:space="preserve">Yediyur</t>
  </si>
  <si>
    <t xml:space="preserve">Mtr 1924</t>
  </si>
  <si>
    <t xml:space="preserve">Nagamangala</t>
  </si>
  <si>
    <t xml:space="preserve">Hotel Harsha Grand</t>
  </si>
  <si>
    <t xml:space="preserve">Cafe Coffee Day</t>
  </si>
  <si>
    <t xml:space="preserve">Bellur</t>
  </si>
  <si>
    <t xml:space="preserve">Auto Matrix, Tata Motors</t>
  </si>
  <si>
    <t xml:space="preserve">Hassan</t>
  </si>
  <si>
    <t xml:space="preserve">Surabhi's Delicacy</t>
  </si>
  <si>
    <t xml:space="preserve">Bage</t>
  </si>
  <si>
    <t xml:space="preserve">Hotel Shiv Surya</t>
  </si>
  <si>
    <t xml:space="preserve">Heddurga</t>
  </si>
  <si>
    <t xml:space="preserve">Hotel Sky Birds</t>
  </si>
  <si>
    <t xml:space="preserve">Ranganathapura</t>
  </si>
  <si>
    <t xml:space="preserve">Aryaas Pure Veg</t>
  </si>
  <si>
    <t xml:space="preserve">Vijaya Power Charging Station 60 + 60 kW</t>
  </si>
  <si>
    <t xml:space="preserve">Shirwal</t>
  </si>
  <si>
    <t xml:space="preserve">Hotel Madhuban EV Charging Station</t>
  </si>
  <si>
    <t xml:space="preserve">Amboli</t>
  </si>
  <si>
    <t xml:space="preserve">Vikaya Power Solutions</t>
  </si>
  <si>
    <t xml:space="preserve">Vijata Power Charging Station 60 kW</t>
  </si>
  <si>
    <t xml:space="preserve">Toap</t>
  </si>
  <si>
    <t xml:space="preserve">Vijaya Power Charging Station 60 Kw + 30 Kw</t>
  </si>
  <si>
    <t xml:space="preserve">Kolhapur</t>
  </si>
  <si>
    <t xml:space="preserve">Powerbank Charging Station</t>
  </si>
  <si>
    <t xml:space="preserve">Chandigarh</t>
  </si>
  <si>
    <t xml:space="preserve">Punjab</t>
  </si>
  <si>
    <t xml:space="preserve">Tata Power Charging Station</t>
  </si>
  <si>
    <t xml:space="preserve">Haryana</t>
  </si>
  <si>
    <t xml:space="preserve">Hotel Golden hut</t>
  </si>
  <si>
    <t xml:space="preserve">Kurukshetra</t>
  </si>
  <si>
    <t xml:space="preserve">Golden Hut, Dera Bassi</t>
  </si>
  <si>
    <t xml:space="preserve">Gholu Majra</t>
  </si>
  <si>
    <t xml:space="preserve">The Gillz-Hotel &amp; Restaurant</t>
  </si>
  <si>
    <t xml:space="preserve">Ambala</t>
  </si>
  <si>
    <t xml:space="preserve">BHEL Charging Station</t>
  </si>
  <si>
    <t xml:space="preserve">Haryana Tourism Resort</t>
  </si>
  <si>
    <t xml:space="preserve">Uchana</t>
  </si>
  <si>
    <t xml:space="preserve">Statiq Charging Station</t>
  </si>
  <si>
    <t xml:space="preserve">Karnal</t>
  </si>
  <si>
    <t xml:space="preserve">Sonipat</t>
  </si>
  <si>
    <t xml:space="preserve">Anantam Clubs &amp; Resorts</t>
  </si>
  <si>
    <t xml:space="preserve">Gandhinagar</t>
  </si>
  <si>
    <t xml:space="preserve">Gujarat</t>
  </si>
  <si>
    <t xml:space="preserve">Laxura Restaurant, Banquet &amp; Rooms</t>
  </si>
  <si>
    <t xml:space="preserve">Mandali</t>
  </si>
  <si>
    <t xml:space="preserve">Tectonic Power Charging Station</t>
  </si>
  <si>
    <t xml:space="preserve">Baliyasan</t>
  </si>
  <si>
    <t xml:space="preserve">Kesar Hotel &amp; Restaurant</t>
  </si>
  <si>
    <t xml:space="preserve">Viramgam</t>
  </si>
  <si>
    <t xml:space="preserve">Hotel Decent</t>
  </si>
  <si>
    <t xml:space="preserve">Unava</t>
  </si>
  <si>
    <t xml:space="preserve">HOTEL LAGOON PARK</t>
  </si>
  <si>
    <t xml:space="preserve">Palanpur</t>
  </si>
  <si>
    <t xml:space="preserve">Ramee Royal Resort &amp; Spa</t>
  </si>
  <si>
    <t xml:space="preserve">Udaipur</t>
  </si>
  <si>
    <t xml:space="preserve">Rajasthan</t>
  </si>
  <si>
    <t xml:space="preserve">Hotel Raj Palace</t>
  </si>
  <si>
    <t xml:space="preserve">Nimbahera</t>
  </si>
  <si>
    <t xml:space="preserve">Chitrakoot Resorts and Restaurant</t>
  </si>
  <si>
    <t xml:space="preserve">Chittorgarh</t>
  </si>
  <si>
    <t xml:space="preserve">Ajmer</t>
  </si>
  <si>
    <t xml:space="preserve">Xobolt Charging Station</t>
  </si>
  <si>
    <t xml:space="preserve">Tolamal</t>
  </si>
  <si>
    <t xml:space="preserve">Volttic Charging Station</t>
  </si>
  <si>
    <t xml:space="preserve">Mozamabad</t>
  </si>
  <si>
    <t xml:space="preserve">Jaipur</t>
  </si>
  <si>
    <t xml:space="preserve">Thegda</t>
  </si>
  <si>
    <t xml:space="preserve">Bijolia</t>
  </si>
  <si>
    <t xml:space="preserve">Tata Power Vehicle Charging Station</t>
  </si>
  <si>
    <t xml:space="preserve">Sambhra</t>
  </si>
  <si>
    <t xml:space="preserve">Jodhpur</t>
  </si>
  <si>
    <t xml:space="preserve">Bhamatsar</t>
  </si>
  <si>
    <t xml:space="preserve">Jio-BP pulse</t>
  </si>
  <si>
    <t xml:space="preserve">Bikaner</t>
  </si>
  <si>
    <t xml:space="preserve">Ratangarh</t>
  </si>
  <si>
    <t xml:space="preserve">GLIDA Charging Station</t>
  </si>
  <si>
    <t xml:space="preserve">Neemrana</t>
  </si>
  <si>
    <t xml:space="preserve">Parasrampura</t>
  </si>
  <si>
    <t xml:space="preserve">AARGO EV Charging Station</t>
  </si>
  <si>
    <t xml:space="preserve">Reengus</t>
  </si>
  <si>
    <t xml:space="preserve">Shahpura</t>
  </si>
  <si>
    <t xml:space="preserve">Jodhpura</t>
  </si>
  <si>
    <t xml:space="preserve">MobiLane Charging Station, Jamanagar</t>
  </si>
  <si>
    <t xml:space="preserve">Vasai</t>
  </si>
  <si>
    <t xml:space="preserve">MobiLane Charging Station</t>
  </si>
  <si>
    <t xml:space="preserve">Samalaji</t>
  </si>
  <si>
    <t xml:space="preserve">Vallabhnagar</t>
  </si>
  <si>
    <t xml:space="preserve">NEEL-GAGAN PUNJABI DHABA</t>
  </si>
  <si>
    <t xml:space="preserve">Shishod</t>
  </si>
  <si>
    <t xml:space="preserve">Hotel Atithi Palace</t>
  </si>
  <si>
    <t xml:space="preserve">Badla</t>
  </si>
  <si>
    <t xml:space="preserve">Hotel Green Plaza</t>
  </si>
  <si>
    <t xml:space="preserve">Hamirgarh</t>
  </si>
  <si>
    <t xml:space="preserve">HFM - Highway Food Mall</t>
  </si>
  <si>
    <t xml:space="preserve">Limbdi</t>
  </si>
  <si>
    <t xml:space="preserve">Honest Restaurant- Amardeep food court</t>
  </si>
  <si>
    <t xml:space="preserve">Kedariya</t>
  </si>
  <si>
    <t xml:space="preserve">Hotel Choudhary Place</t>
  </si>
  <si>
    <t xml:space="preserve">Pindwara</t>
  </si>
  <si>
    <t xml:space="preserve">Hotel Tiranga</t>
  </si>
  <si>
    <t xml:space="preserve">Roopaheli</t>
  </si>
  <si>
    <t xml:space="preserve">Novotel Jaipur Convention Centre</t>
  </si>
  <si>
    <t xml:space="preserve">Jaipur Marriott Hotel</t>
  </si>
  <si>
    <t xml:space="preserve">JCR - The Entertainment World</t>
  </si>
  <si>
    <t xml:space="preserve">Jamnagar</t>
  </si>
  <si>
    <t xml:space="preserve">Hotel Express Highway</t>
  </si>
  <si>
    <t xml:space="preserve">Behror</t>
  </si>
  <si>
    <t xml:space="preserve">Hotel Highway Express, Delhi Side</t>
  </si>
  <si>
    <t xml:space="preserve">Courtyard by Marriott Aravali Resort</t>
  </si>
  <si>
    <t xml:space="preserve">Faridabad</t>
  </si>
  <si>
    <t xml:space="preserve">The Westin Sohna Resort and Spa</t>
  </si>
  <si>
    <t xml:space="preserve">Sohna</t>
  </si>
  <si>
    <t xml:space="preserve">Fortune Park Orange</t>
  </si>
  <si>
    <t xml:space="preserve">Gurugram</t>
  </si>
  <si>
    <t xml:space="preserve">Sarhol Charging Hub</t>
  </si>
  <si>
    <t xml:space="preserve">Le Meridien</t>
  </si>
  <si>
    <t xml:space="preserve">Gurgaon</t>
  </si>
  <si>
    <t xml:space="preserve">Hotel Westinn</t>
  </si>
  <si>
    <t xml:space="preserve">Hotel Pullman</t>
  </si>
  <si>
    <t xml:space="preserve">New Delhi</t>
  </si>
  <si>
    <t xml:space="preserve">Le Méridien</t>
  </si>
  <si>
    <t xml:space="preserve">Mercedes Benz Silver Arrows, Noida</t>
  </si>
  <si>
    <t xml:space="preserve">Noida</t>
  </si>
  <si>
    <t xml:space="preserve">Andheri West</t>
  </si>
  <si>
    <t xml:space="preserve">Mumbai</t>
  </si>
  <si>
    <t xml:space="preserve">Badarpur, New Delhi</t>
  </si>
  <si>
    <t xml:space="preserve">Savoy Suites Charging Station</t>
  </si>
  <si>
    <t xml:space="preserve">MLCP Zone3 Captive Charging Station</t>
  </si>
  <si>
    <t xml:space="preserve">Berger Tower Charging Station</t>
  </si>
  <si>
    <t xml:space="preserve">EESL Charging Station</t>
  </si>
  <si>
    <t xml:space="preserve">GTB Nagar Metro Station Parking</t>
  </si>
  <si>
    <t xml:space="preserve">Hans Resorts</t>
  </si>
  <si>
    <t xml:space="preserve">Rewari</t>
  </si>
  <si>
    <t xml:space="preserve">Subway</t>
  </si>
  <si>
    <t xml:space="preserve">Bhiwadi</t>
  </si>
  <si>
    <t xml:space="preserve">Bikanerwala</t>
  </si>
  <si>
    <t xml:space="preserve">Krishna Valley Vrindavan</t>
  </si>
  <si>
    <t xml:space="preserve">Kosi Gulshan Dhaba</t>
  </si>
  <si>
    <t xml:space="preserve">Haldiram</t>
  </si>
  <si>
    <t xml:space="preserve">Asli Pappu Dhaba (2)</t>
  </si>
  <si>
    <t xml:space="preserve">Asli Pappu Dhaba</t>
  </si>
  <si>
    <t xml:space="preserve">Golden Galaxy Hotels &amp; Resorts</t>
  </si>
  <si>
    <t xml:space="preserve">Powerbank Ghitorni Metro Station Parking Area</t>
  </si>
  <si>
    <t xml:space="preserve">Qutab Minar Metro Station</t>
  </si>
  <si>
    <t xml:space="preserve">ITC Maurya</t>
  </si>
  <si>
    <t xml:space="preserve">TML Autovikas</t>
  </si>
  <si>
    <t xml:space="preserve">FBD ONE CORPORATION PARK</t>
  </si>
  <si>
    <t xml:space="preserve">Moolchand Metro Station</t>
  </si>
  <si>
    <t xml:space="preserve">A-359, Varun Marg, Market, near Gol Gumbad</t>
  </si>
  <si>
    <t xml:space="preserve">IOCL Citi Fuels</t>
  </si>
  <si>
    <t xml:space="preserve">Galleria Charging Station</t>
  </si>
  <si>
    <t xml:space="preserve">JMD Pacific Square Charging Station</t>
  </si>
  <si>
    <t xml:space="preserve">Bikanervala Sec-29 Charging Station</t>
  </si>
  <si>
    <t xml:space="preserve">Crowne Plaza Gurgaon</t>
  </si>
  <si>
    <t xml:space="preserve">Gulf Adiba</t>
  </si>
  <si>
    <t xml:space="preserve">JW Marriott - Aerocity</t>
  </si>
  <si>
    <t xml:space="preserve">Aloft</t>
  </si>
  <si>
    <t xml:space="preserve">Radisson Blu Plaza Delhi Airport</t>
  </si>
  <si>
    <t xml:space="preserve">Hauz Khas Metro Station Parking Area</t>
  </si>
  <si>
    <t xml:space="preserve">Savoy Suites Noida</t>
  </si>
  <si>
    <t xml:space="preserve">TERRA CHARGE BSES</t>
  </si>
  <si>
    <t xml:space="preserve">Terra Charge</t>
  </si>
  <si>
    <t xml:space="preserve">Wave One</t>
  </si>
  <si>
    <t xml:space="preserve">DLF Mall Of India</t>
  </si>
  <si>
    <t xml:space="preserve">Windsor Grand DC Charger</t>
  </si>
  <si>
    <t xml:space="preserve">Windsor IT Park</t>
  </si>
  <si>
    <t xml:space="preserve">Advant IT Park</t>
  </si>
  <si>
    <t xml:space="preserve">Omaxe Connaught Place Mall</t>
  </si>
  <si>
    <t xml:space="preserve">Greater Noida</t>
  </si>
  <si>
    <t xml:space="preserve">Omaxe India Trade Centre</t>
  </si>
  <si>
    <t xml:space="preserve">Near Snow White</t>
  </si>
  <si>
    <t xml:space="preserve">technoPolis</t>
  </si>
  <si>
    <t xml:space="preserve">Kartavya Path</t>
  </si>
  <si>
    <t xml:space="preserve">Kot Safil road</t>
  </si>
  <si>
    <t xml:space="preserve">Surat</t>
  </si>
  <si>
    <t xml:space="preserve">Harsha the Fernn</t>
  </si>
  <si>
    <t xml:space="preserve">Shivamogga</t>
  </si>
  <si>
    <t xml:space="preserve">Shanthigrama Toll plaza</t>
  </si>
  <si>
    <t xml:space="preserve">Shanthigrama</t>
  </si>
  <si>
    <t xml:space="preserve">HPCL Shoolagiri</t>
  </si>
  <si>
    <t xml:space="preserve">Quality Inn VIHA</t>
  </si>
  <si>
    <t xml:space="preserve">Kumbakonam</t>
  </si>
  <si>
    <t xml:space="preserve">Marshal E Tech Station</t>
  </si>
  <si>
    <t xml:space="preserve">Kanyakumari</t>
  </si>
  <si>
    <t xml:space="preserve">Kallukurichi Toll Plaza</t>
  </si>
  <si>
    <t xml:space="preserve">Viluppuram</t>
  </si>
  <si>
    <t xml:space="preserve">Mettupatty Toll Plaza</t>
  </si>
  <si>
    <t xml:space="preserve">selam</t>
  </si>
  <si>
    <t xml:space="preserve">NS Charging Station</t>
  </si>
  <si>
    <t xml:space="preserve">sirkali</t>
  </si>
  <si>
    <t xml:space="preserve">Prashanth Charging Station</t>
  </si>
  <si>
    <t xml:space="preserve">Chidambaram</t>
  </si>
  <si>
    <t xml:space="preserve">Ocean Spray Resort</t>
  </si>
  <si>
    <t xml:space="preserve">Villupuram</t>
  </si>
  <si>
    <t xml:space="preserve">VASAN Charging Station</t>
  </si>
  <si>
    <t xml:space="preserve">Charles Mahal</t>
  </si>
  <si>
    <t xml:space="preserve">DYNASTY AK Plaza</t>
  </si>
  <si>
    <t xml:space="preserve">Virudhunagar</t>
  </si>
  <si>
    <t xml:space="preserve">Haribhavanam KMCH</t>
  </si>
  <si>
    <t xml:space="preserve">Siva Selvi Charging Station</t>
  </si>
  <si>
    <t xml:space="preserve">HR Legacy</t>
  </si>
  <si>
    <t xml:space="preserve">yercaud</t>
  </si>
  <si>
    <t xml:space="preserve">Dr. MGR University</t>
  </si>
  <si>
    <t xml:space="preserve">Maduravoyal, chennai</t>
  </si>
  <si>
    <t xml:space="preserve">Hotel Benzz Park</t>
  </si>
  <si>
    <t xml:space="preserve">Alps Residency - A Bergamont Group of Hotel</t>
  </si>
  <si>
    <t xml:space="preserve">Ero G Electric Charging Station</t>
  </si>
  <si>
    <t xml:space="preserve">KSN Charging Station</t>
  </si>
  <si>
    <t xml:space="preserve">Hotel VPS Grand - Palani</t>
  </si>
  <si>
    <t xml:space="preserve">Palani</t>
  </si>
  <si>
    <t xml:space="preserve">Hotel Temple City Lake Inn</t>
  </si>
  <si>
    <t xml:space="preserve">Valaichcherippatti</t>
  </si>
  <si>
    <t xml:space="preserve">perundurai</t>
  </si>
  <si>
    <t xml:space="preserve">Sree Annapoorna Restaurant</t>
  </si>
  <si>
    <t xml:space="preserve">Ambur - Vellore</t>
  </si>
  <si>
    <t xml:space="preserve">Thoppur Toll Plaza</t>
  </si>
  <si>
    <t xml:space="preserve">Thoppur</t>
  </si>
  <si>
    <t xml:space="preserve">Vaniyambadi Toll Plaza - Relux Charaging station</t>
  </si>
  <si>
    <t xml:space="preserve">Hotel Himalayaa</t>
  </si>
  <si>
    <t xml:space="preserve">Thiruvanamalai</t>
  </si>
  <si>
    <t xml:space="preserve">Hotel Aishwarya Bhavan</t>
  </si>
  <si>
    <t xml:space="preserve">Tindivanam - Villupuram</t>
  </si>
  <si>
    <t xml:space="preserve">MM Legacy</t>
  </si>
  <si>
    <t xml:space="preserve">Kanchipuram</t>
  </si>
  <si>
    <t xml:space="preserve">EVP Cinemas - Relux Charging Station</t>
  </si>
  <si>
    <t xml:space="preserve">Chembarambakkam</t>
  </si>
  <si>
    <t xml:space="preserve">Hotel Aaryas Garden - Relux Charging Station</t>
  </si>
  <si>
    <t xml:space="preserve">Tindivanam</t>
  </si>
  <si>
    <t xml:space="preserve">Hotel Aaryas Garden - Relux Electric</t>
  </si>
  <si>
    <t xml:space="preserve">kandigai</t>
  </si>
  <si>
    <t xml:space="preserve">Cosmopolitan Club - Relux Electric</t>
  </si>
  <si>
    <t xml:space="preserve">Saravana Stores - Padi - Relux Electric</t>
  </si>
  <si>
    <t xml:space="preserve">Balasaheb Thackeray Flyover</t>
  </si>
  <si>
    <t xml:space="preserve">Joance Regency</t>
  </si>
  <si>
    <t xml:space="preserve">#1043, 11th cross</t>
  </si>
  <si>
    <t xml:space="preserve">mysore</t>
  </si>
  <si>
    <t xml:space="preserve">Ganesh Hotel</t>
  </si>
  <si>
    <t xml:space="preserve">Tirumalakoppa</t>
  </si>
  <si>
    <t xml:space="preserve">Jio BP Kamadod</t>
  </si>
  <si>
    <t xml:space="preserve">Kamadod</t>
  </si>
  <si>
    <t xml:space="preserve">Zeon 24KW Kyathasandra</t>
  </si>
  <si>
    <t xml:space="preserve">Kyathasandra</t>
  </si>
  <si>
    <t xml:space="preserve">Relux 25KW Chidambaram</t>
  </si>
  <si>
    <t xml:space="preserve">chargemod 30kw Amoha hotel</t>
  </si>
  <si>
    <t xml:space="preserve">Tiruvannamalai</t>
  </si>
  <si>
    <t xml:space="preserve">Relux 30KW Hotel Himalaya</t>
  </si>
  <si>
    <t xml:space="preserve">Annamalai R.F</t>
  </si>
  <si>
    <t xml:space="preserve">Statiq 60kW Tirunelveli</t>
  </si>
  <si>
    <t xml:space="preserve">Tirunelveli</t>
  </si>
  <si>
    <t xml:space="preserve">Regency Tirunelveli By GRT Hotels</t>
  </si>
  <si>
    <t xml:space="preserve">Kannada Parisath Road</t>
  </si>
  <si>
    <t xml:space="preserve">Knowledge park</t>
  </si>
  <si>
    <t xml:space="preserve">Urs Kar</t>
  </si>
  <si>
    <t xml:space="preserve">Punkunnam-Guruvayoor Road</t>
  </si>
  <si>
    <t xml:space="preserve">Viyyur KSEB</t>
  </si>
  <si>
    <t xml:space="preserve">KSEB Charging Station</t>
  </si>
  <si>
    <t xml:space="preserve">GoElectrify-EV Charger</t>
  </si>
  <si>
    <t xml:space="preserve">Ahmedabad</t>
  </si>
  <si>
    <t xml:space="preserve">ChargePod Charging Station</t>
  </si>
  <si>
    <t xml:space="preserve">Fortum Charge &amp; Drive Charging Station</t>
  </si>
  <si>
    <t xml:space="preserve">Ather Grid Charging Station</t>
  </si>
  <si>
    <t xml:space="preserve">Taj Hotel</t>
  </si>
  <si>
    <t xml:space="preserve">Sargasan Cross Rd</t>
  </si>
  <si>
    <t xml:space="preserve">Agora Mall Charging Station</t>
  </si>
  <si>
    <t xml:space="preserve">Capital EV Charging Station (Kalupur)</t>
  </si>
  <si>
    <t xml:space="preserve">Technopark EVCS</t>
  </si>
  <si>
    <t xml:space="preserve">Cinemax</t>
  </si>
  <si>
    <t xml:space="preserve">Kalyan</t>
  </si>
  <si>
    <t xml:space="preserve">Kalyan Grand Business Hotel</t>
  </si>
  <si>
    <t xml:space="preserve">Vandalur</t>
  </si>
  <si>
    <t xml:space="preserve">Muscat bakery &amp; Restaurants</t>
  </si>
  <si>
    <t xml:space="preserve">Irungattukottai</t>
  </si>
  <si>
    <t xml:space="preserve">Holiday Inn Chennai OMR</t>
  </si>
  <si>
    <t xml:space="preserve">Grand Chennai by GRT Hotels</t>
  </si>
  <si>
    <t xml:space="preserve">Spencer plaza</t>
  </si>
  <si>
    <t xml:space="preserve">Chandni Chowk</t>
  </si>
  <si>
    <t xml:space="preserve">Sardar Patel Ring Road</t>
  </si>
  <si>
    <t xml:space="preserve">Shawadi Road</t>
  </si>
  <si>
    <t xml:space="preserve">Hosa Road</t>
  </si>
  <si>
    <t xml:space="preserve">Chikkanayakanahalli</t>
  </si>
  <si>
    <t xml:space="preserve">Tata Fast Charger</t>
  </si>
  <si>
    <t xml:space="preserve">Bharay</t>
  </si>
  <si>
    <t xml:space="preserve">Mukundgarh Mandi</t>
  </si>
  <si>
    <t xml:space="preserve">Saravana Bhavan</t>
  </si>
  <si>
    <t xml:space="preserve">Vaigundam</t>
  </si>
  <si>
    <t xml:space="preserve">IITM Research Park</t>
  </si>
  <si>
    <t xml:space="preserve">Chennai City Corporation Limits</t>
  </si>
  <si>
    <t xml:space="preserve">Assam Electric Point</t>
  </si>
  <si>
    <t xml:space="preserve">Guwahati</t>
  </si>
  <si>
    <t xml:space="preserve">Assam</t>
  </si>
  <si>
    <t xml:space="preserve">Electrify Bihar EV Charging Station</t>
  </si>
  <si>
    <t xml:space="preserve">Darbhanga</t>
  </si>
  <si>
    <t xml:space="preserve">Bihar</t>
  </si>
  <si>
    <t xml:space="preserve">Fortum Mahindra</t>
  </si>
  <si>
    <t xml:space="preserve">Amplify Mobility</t>
  </si>
  <si>
    <t xml:space="preserve">Jawahar Marg</t>
  </si>
  <si>
    <t xml:space="preserve">Indore</t>
  </si>
  <si>
    <t xml:space="preserve">Kailash Bhavan</t>
  </si>
  <si>
    <t xml:space="preserve">Clappana</t>
  </si>
  <si>
    <t xml:space="preserve">AtherGrid Go Native Cafe</t>
  </si>
  <si>
    <t xml:space="preserve">BESCOM Head Office</t>
  </si>
  <si>
    <t xml:space="preserve">Ather Space</t>
  </si>
  <si>
    <t xml:space="preserve">Ather Grid Point - Herbs and Spices</t>
  </si>
  <si>
    <t xml:space="preserve">Ather Grid Point - 6000 Miles to Isle of Man</t>
  </si>
  <si>
    <t xml:space="preserve">Ather Grid Point - Sunny Side Bistro</t>
  </si>
  <si>
    <t xml:space="preserve">Ather Grid Point - Patel's Inn</t>
  </si>
  <si>
    <t xml:space="preserve">Ather Grid Point - Chapter One</t>
  </si>
  <si>
    <t xml:space="preserve">Ather Grid Point - Royal Airawat Residency</t>
  </si>
  <si>
    <t xml:space="preserve">Ather Grid Point - Caf Eleven</t>
  </si>
  <si>
    <t xml:space="preserve">Ather Grid Point - Fab Cafe</t>
  </si>
  <si>
    <t xml:space="preserve">Ather Grid Point - Moto Store &amp; Cafe</t>
  </si>
  <si>
    <t xml:space="preserve">International Tech Park, Bangalore</t>
  </si>
  <si>
    <t xml:space="preserve">Ather Grid Point - Ascendas Park square mall</t>
  </si>
  <si>
    <t xml:space="preserve">Tellus Power</t>
  </si>
  <si>
    <t xml:space="preserve">Ola Charging Point</t>
  </si>
  <si>
    <t xml:space="preserve">Nagpur</t>
  </si>
  <si>
    <t xml:space="preserve">Source: OpenChargeMap API, via github.com/tarekmasryo/global-ev-infra-dataset (CC BY-SA 4.0). Filtered to country_code='IN'. State labels cleaned from raw OCM free-text entries.</t>
  </si>
  <si>
    <t xml:space="preserve">State</t>
  </si>
  <si>
    <t xml:space="preserve">OCM Sites (COUNTIFS)</t>
  </si>
  <si>
    <t xml:space="preserve">Total Ports (SUMIFS)</t>
  </si>
  <si>
    <t xml:space="preserve">Avg Power kW (AVERAGEIFS)</t>
  </si>
  <si>
    <t xml:space="preserve">Fast-DC Sites</t>
  </si>
  <si>
    <t xml:space="preserve">Fast-DC Share %</t>
  </si>
  <si>
    <t xml:space="preserve">TOTAL / NATIONAL AVG</t>
  </si>
  <si>
    <t xml:space="preserve">Note: this sheet reflects OCM (crowdsourced) coverage only — see Official_vs_Crowdsourced for real installed-base comparison.</t>
  </si>
  <si>
    <t xml:space="preserve">Official PIB EVCS (as of 01-Aug-2025)</t>
  </si>
  <si>
    <t xml:space="preserve">OCM-Mapped Sites</t>
  </si>
  <si>
    <t xml:space="preserve">OCM Coverage % of Official</t>
  </si>
  <si>
    <t xml:space="preserve">Source</t>
  </si>
  <si>
    <t xml:space="preserve">Sec.3.1, PIB PRID 2154127 (via TeslaVolts Table 3.1)</t>
  </si>
  <si>
    <t xml:space="preserve">PIB PRID 2154127, Annexure A (direct, MoP)</t>
  </si>
  <si>
    <t xml:space="preserve">TOTAL (these 7 states)</t>
  </si>
  <si>
    <t xml:space="preserve">National context (not state-summable):</t>
  </si>
  <si>
    <t xml:space="preserve">Official national public EVCS, 01-Aug-2025 (PIB PRID 2154127)</t>
  </si>
  <si>
    <t xml:space="preserve">Total OCM-mapped India sites (this workbook, cleaned)</t>
  </si>
  <si>
    <t xml:space="preserve">Implied national OCM coverage %</t>
  </si>
  <si>
    <t xml:space="preserve">Interpretation: yellow-filled cells are hardcoded official figures sourced from PIB — cite these for any real headline claim about India's charging network. OCM coverage % measures ONLY how discoverable a state's stations are on the crowdsourced OpenChargeMap platform, not infrastructure quality or adequacy.</t>
  </si>
  <si>
    <t xml:space="preserve">Official EVCS (Aug-2025)</t>
  </si>
  <si>
    <t xml:space="preserve">EV Sales, CY2025 (units)</t>
  </si>
  <si>
    <t xml:space="preserve">Share of Natl EV Sales 2025</t>
  </si>
  <si>
    <t xml:space="preserve">New EVs Sold per Station (2025)</t>
  </si>
  <si>
    <t xml:space="preserve">Stress Rank (1=worst)</t>
  </si>
  <si>
    <t xml:space="preserve">Sources</t>
  </si>
  <si>
    <t xml:space="preserve">Uttar Pradesh: PIB PRID2154127 (stations); Navionyx/Vahan-derived, 2025 (sales, 18% natl share)</t>
  </si>
  <si>
    <t xml:space="preserve">Maharashtra: PIB PRID2154127 (stations); Navionyx/Vahan-derived, 2025 (sales, 12% natl share)</t>
  </si>
  <si>
    <t xml:space="preserve">Karnataka: PIB PRID2154127 (stations); Deccan Herald, FY24-25 EV sales (2W+3W+4W), citing MoRTH/RTO data</t>
  </si>
  <si>
    <t xml:space="preserve">National context</t>
  </si>
  <si>
    <t xml:space="preserve">Cumulative EVs registered nationally, as of 08-Feb-2025 (e-Vahan / PIB PRID2101635)</t>
  </si>
  <si>
    <t xml:space="preserve">Public EVCS nationally, as of 01-Aug-2025 (PIB PRID2154127)</t>
  </si>
  <si>
    <t xml:space="preserve">Implied national installed-base ratio (cumulative EVs per station — NOT an annual-flow metric, differs from cols above)</t>
  </si>
  <si>
    <t xml:space="preserve">Read this table as: how many NEW EVs were sold in 2025 for every EXISTING public station — a stress/pressure metric on the current network, not a literal 'cars per plug' figure (each EV doesn't need its own charger). Higher = more pressure on existing infrastructure.</t>
  </si>
  <si>
    <t xml:space="preserve">Strategic recommendations — where to prioritize new public charging investment</t>
  </si>
  <si>
    <t xml:space="preserve">1. Uttar Pradesh is the single highest-pressure state in the network.</t>
  </si>
  <si>
    <t xml:space="preserve">UP sold 18% of India's 2025 EV volume (~4 lakh units, mostly e-2W/e-3W) but holds only 8% of the top-7 states' charging stations (2,326 of 29,277 nationally). At ~172 new EVs sold per existing station in 2025 alone, UP's stress ratio is roughly 6x Karnataka's (~28:1). Because UP's EV mix is dominated by two/three-wheelers that mostly charge at home or via battery swapping, this is less acute for range anxiety than the raw ratio implies — but it's still the state where new public DC/AC capacity should be added first for four-wheeler and fleet segments.</t>
  </si>
  <si>
    <t xml:space="preserve">2. Karnataka's density masks a Bengaluru-only story.</t>
  </si>
  <si>
    <t xml:space="preserve">6,097 stations sounds dominant, but public reporting (Deccan Herald, Aug 2025) puts the count much lower at city/state-department level (468 in one district-level count), and industry sources note utilization outside Bengaluru is thin. Don't read 'most stations' as 'most accessible' — recommend a district-level follow-up study before assuming Karnataka's infrastructure gap is closed.</t>
  </si>
  <si>
    <t xml:space="preserve">3. Crowdsourced platforms (Google Maps/OSM-linked apps) undercount India's real network by ~96%.</t>
  </si>
  <si>
    <t xml:space="preserve">OCM shows 1,178 mapped stations against an official 29,277 — a coverage gap that matters directly for any GTM plan built on 'where do EV drivers currently look for chargers.' A charge-point operator or app relying on OCM/OSM data alone is working from a dataset that's missing the vast majority of real stations, mostly OMC-installed sites (IOCL alone operates 7,928) that haven't been crowd-mapped.</t>
  </si>
  <si>
    <t xml:space="preserve">4. Fast-DC share is a Karnataka/Maharashtra/UP story, not a national one.</t>
  </si>
  <si>
    <t xml:space="preserve">In the OCM-mapped subset, fast-DC share is 54% in Karnataka and 63% in Maharashtra but under 6% in Rajasthan and 13% in Gujarat. If the goal is highway-corridor readiness (PM E-DRIVE's 50-corridor target), Rajasthan and Gujarat's AC-heavy networks are the weaker links despite reasonable total station counts.</t>
  </si>
  <si>
    <t xml:space="preserve">5. Data quality is itself a finding.</t>
  </si>
  <si>
    <t xml:space="preserve">The raw crowdsourced dataset contained a 1,000,000 kW power rating on a single-port site (obvious data entry error) and 10+ garbled/misspelled state labels. Any pipeline consuming OCM data directly needs validation rules on power_kw (cap at physically plausible values, e.g. 400 kW) and a state-name canonicalization step before it's usable for reporting.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</si>
</sst>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General"/>
    <numFmt numFmtId="166" formatCode="0.0"/>
    <numFmt numFmtId="167" formatCode="0.0%"/>
    <numFmt numFmtId="168" formatCode="#,##0"/>
    <numFmt numFmtId="169" formatCode="0%"/>
    <numFmt numFmtId="170" formatCode="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11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i val="true"/>
      <sz val="8"/>
      <color rgb="FF808080"/>
      <name val="Arial"/>
      <family val="0"/>
      <charset val="1"/>
    </font>
    <font>
      <b val="true"/>
      <sz val="13"/>
      <color rgb="FF1F3864"/>
      <name val="Arial"/>
      <family val="0"/>
      <charset val="1"/>
    </font>
    <font>
      <b val="true"/>
      <sz val="11"/>
      <color rgb="FF1F3864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C0504D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878787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OCM-mapped charging sites by state (top states, ≥3 sites)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State_Summary!B1</c:f>
              <c:strCache>
                <c:ptCount val="1"/>
                <c:pt idx="0">
                  <c:v>OCM Sites (COUNTIFS)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State_Summary!$A$2:$A$14</c:f>
              <c:strCache>
                <c:ptCount val="13"/>
                <c:pt idx="0">
                  <c:v>Kerala</c:v>
                </c:pt>
                <c:pt idx="1">
                  <c:v>Karnataka</c:v>
                </c:pt>
                <c:pt idx="2">
                  <c:v>Tamil Nadu</c:v>
                </c:pt>
                <c:pt idx="3">
                  <c:v>Rajasthan</c:v>
                </c:pt>
                <c:pt idx="4">
                  <c:v>Delhi</c:v>
                </c:pt>
                <c:pt idx="5">
                  <c:v>Haryana</c:v>
                </c:pt>
                <c:pt idx="6">
                  <c:v>Gujarat</c:v>
                </c:pt>
                <c:pt idx="7">
                  <c:v>Uttar Pradesh</c:v>
                </c:pt>
                <c:pt idx="8">
                  <c:v>Maharashtra</c:v>
                </c:pt>
                <c:pt idx="9">
                  <c:v>Telangana</c:v>
                </c:pt>
                <c:pt idx="10">
                  <c:v>Goa</c:v>
                </c:pt>
                <c:pt idx="11">
                  <c:v>West Bengal</c:v>
                </c:pt>
                <c:pt idx="12">
                  <c:v>Andhra Pradesh</c:v>
                </c:pt>
              </c:strCache>
            </c:strRef>
          </c:cat>
          <c:val>
            <c:numRef>
              <c:f>State_Summary!$B$2:$B$14</c:f>
              <c:numCache>
                <c:formatCode>General</c:formatCode>
                <c:ptCount val="13"/>
                <c:pt idx="0">
                  <c:v>454</c:v>
                </c:pt>
                <c:pt idx="1">
                  <c:v>362</c:v>
                </c:pt>
                <c:pt idx="2">
                  <c:v>182</c:v>
                </c:pt>
                <c:pt idx="3">
                  <c:v>34</c:v>
                </c:pt>
                <c:pt idx="4">
                  <c:v>30</c:v>
                </c:pt>
                <c:pt idx="5">
                  <c:v>27</c:v>
                </c:pt>
                <c:pt idx="6">
                  <c:v>23</c:v>
                </c:pt>
                <c:pt idx="7">
                  <c:v>21</c:v>
                </c:pt>
                <c:pt idx="8">
                  <c:v>16</c:v>
                </c:pt>
                <c:pt idx="9">
                  <c:v>7</c:v>
                </c:pt>
                <c:pt idx="10">
                  <c:v>6</c:v>
                </c:pt>
                <c:pt idx="11">
                  <c:v>6</c:v>
                </c:pt>
                <c:pt idx="12">
                  <c:v>3</c:v>
                </c:pt>
              </c:numCache>
            </c:numRef>
          </c:val>
        </c:ser>
        <c:gapWidth val="150"/>
        <c:overlap val="0"/>
        <c:axId val="68378547"/>
        <c:axId val="77989310"/>
      </c:barChart>
      <c:catAx>
        <c:axId val="6837854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State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7989310"/>
        <c:crosses val="autoZero"/>
        <c:auto val="1"/>
        <c:lblAlgn val="ctr"/>
        <c:lblOffset val="100"/>
        <c:noMultiLvlLbl val="0"/>
      </c:catAx>
      <c:valAx>
        <c:axId val="7798931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Sites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837854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Official (PIB) vs OCM-mapped stations, top 7 states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Official_vs_Crowdsourced!B1</c:f>
              <c:strCache>
                <c:ptCount val="1"/>
                <c:pt idx="0">
                  <c:v>Official PIB EVCS (as of 01-Aug-2025)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Official_vs_Crowdsourced!$A$2:$A$8</c:f>
              <c:strCache>
                <c:ptCount val="7"/>
                <c:pt idx="0">
                  <c:v>Karnataka</c:v>
                </c:pt>
                <c:pt idx="1">
                  <c:v>Maharashtra</c:v>
                </c:pt>
                <c:pt idx="2">
                  <c:v>Uttar Pradesh</c:v>
                </c:pt>
                <c:pt idx="3">
                  <c:v>Delhi</c:v>
                </c:pt>
                <c:pt idx="4">
                  <c:v>Tamil Nadu</c:v>
                </c:pt>
                <c:pt idx="5">
                  <c:v>Rajasthan</c:v>
                </c:pt>
                <c:pt idx="6">
                  <c:v>Kerala</c:v>
                </c:pt>
              </c:strCache>
            </c:strRef>
          </c:cat>
          <c:val>
            <c:numRef>
              <c:f>Official_vs_Crowdsourced!$B$2:$B$8</c:f>
              <c:numCache>
                <c:formatCode>General</c:formatCode>
                <c:ptCount val="7"/>
                <c:pt idx="0">
                  <c:v>6097</c:v>
                </c:pt>
                <c:pt idx="1">
                  <c:v>4155</c:v>
                </c:pt>
                <c:pt idx="2">
                  <c:v>2326</c:v>
                </c:pt>
                <c:pt idx="3">
                  <c:v>1967</c:v>
                </c:pt>
                <c:pt idx="4">
                  <c:v>1781</c:v>
                </c:pt>
                <c:pt idx="5">
                  <c:v>1531</c:v>
                </c:pt>
                <c:pt idx="6">
                  <c:v>1392</c:v>
                </c:pt>
              </c:numCache>
            </c:numRef>
          </c:val>
        </c:ser>
        <c:ser>
          <c:idx val="1"/>
          <c:order val="1"/>
          <c:tx>
            <c:strRef>
              <c:f>Official_vs_Crowdsourced!C1</c:f>
              <c:strCache>
                <c:ptCount val="1"/>
                <c:pt idx="0">
                  <c:v>OCM-Mapped Sites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Official_vs_Crowdsourced!$A$2:$A$8</c:f>
              <c:strCache>
                <c:ptCount val="7"/>
                <c:pt idx="0">
                  <c:v>Karnataka</c:v>
                </c:pt>
                <c:pt idx="1">
                  <c:v>Maharashtra</c:v>
                </c:pt>
                <c:pt idx="2">
                  <c:v>Uttar Pradesh</c:v>
                </c:pt>
                <c:pt idx="3">
                  <c:v>Delhi</c:v>
                </c:pt>
                <c:pt idx="4">
                  <c:v>Tamil Nadu</c:v>
                </c:pt>
                <c:pt idx="5">
                  <c:v>Rajasthan</c:v>
                </c:pt>
                <c:pt idx="6">
                  <c:v>Kerala</c:v>
                </c:pt>
              </c:strCache>
            </c:strRef>
          </c:cat>
          <c:val>
            <c:numRef>
              <c:f>Official_vs_Crowdsourced!$C$2:$C$8</c:f>
              <c:numCache>
                <c:formatCode>General</c:formatCode>
                <c:ptCount val="7"/>
                <c:pt idx="0">
                  <c:v>362</c:v>
                </c:pt>
                <c:pt idx="1">
                  <c:v>16</c:v>
                </c:pt>
                <c:pt idx="2">
                  <c:v>21</c:v>
                </c:pt>
                <c:pt idx="3">
                  <c:v>30</c:v>
                </c:pt>
                <c:pt idx="4">
                  <c:v>182</c:v>
                </c:pt>
                <c:pt idx="5">
                  <c:v>34</c:v>
                </c:pt>
                <c:pt idx="6">
                  <c:v>454</c:v>
                </c:pt>
              </c:numCache>
            </c:numRef>
          </c:val>
        </c:ser>
        <c:gapWidth val="150"/>
        <c:overlap val="0"/>
        <c:axId val="3483272"/>
        <c:axId val="41813173"/>
      </c:barChart>
      <c:catAx>
        <c:axId val="3483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1813173"/>
        <c:crosses val="autoZero"/>
        <c:auto val="1"/>
        <c:lblAlgn val="ctr"/>
        <c:lblOffset val="100"/>
        <c:noMultiLvlLbl val="0"/>
      </c:catAx>
      <c:valAx>
        <c:axId val="4181317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Stations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48327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New EVs sold per existing charging station, CY2025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Demand_Supply_Gap!E1</c:f>
              <c:strCache>
                <c:ptCount val="1"/>
                <c:pt idx="0">
                  <c:v>New EVs Sold per Station (2025)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Demand_Supply_Gap!$A$2:$A$4</c:f>
              <c:strCache>
                <c:ptCount val="3"/>
                <c:pt idx="0">
                  <c:v>Uttar Pradesh</c:v>
                </c:pt>
                <c:pt idx="1">
                  <c:v>Maharashtra</c:v>
                </c:pt>
                <c:pt idx="2">
                  <c:v>Karnataka</c:v>
                </c:pt>
              </c:strCache>
            </c:strRef>
          </c:cat>
          <c:val>
            <c:numRef>
              <c:f>Demand_Supply_Gap!$E$2:$E$4</c:f>
              <c:numCache>
                <c:formatCode>0</c:formatCode>
                <c:ptCount val="3"/>
                <c:pt idx="0">
                  <c:v>171.969045571797</c:v>
                </c:pt>
                <c:pt idx="1">
                  <c:v>64.0192539109507</c:v>
                </c:pt>
                <c:pt idx="2">
                  <c:v>28.3746104641627</c:v>
                </c:pt>
              </c:numCache>
            </c:numRef>
          </c:val>
        </c:ser>
        <c:gapWidth val="150"/>
        <c:overlap val="0"/>
        <c:axId val="75572062"/>
        <c:axId val="5238335"/>
      </c:barChart>
      <c:catAx>
        <c:axId val="7557206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238335"/>
        <c:crosses val="autoZero"/>
        <c:auto val="1"/>
        <c:lblAlgn val="ctr"/>
        <c:lblOffset val="100"/>
        <c:noMultiLvlLbl val="0"/>
      </c:catAx>
      <c:valAx>
        <c:axId val="523833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EVs sold per station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557206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0</xdr:row>
      <xdr:rowOff>190440</xdr:rowOff>
    </xdr:from>
    <xdr:to>
      <xdr:col>19</xdr:col>
      <xdr:colOff>581760</xdr:colOff>
      <xdr:row>19</xdr:row>
      <xdr:rowOff>20160</xdr:rowOff>
    </xdr:to>
    <xdr:graphicFrame>
      <xdr:nvGraphicFramePr>
        <xdr:cNvPr id="0" name="Chart 1"/>
        <xdr:cNvGraphicFramePr/>
      </xdr:nvGraphicFramePr>
      <xdr:xfrm>
        <a:off x="7941960" y="190440"/>
        <a:ext cx="791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0</xdr:row>
      <xdr:rowOff>190440</xdr:rowOff>
    </xdr:from>
    <xdr:to>
      <xdr:col>18</xdr:col>
      <xdr:colOff>581760</xdr:colOff>
      <xdr:row>18</xdr:row>
      <xdr:rowOff>20160</xdr:rowOff>
    </xdr:to>
    <xdr:graphicFrame>
      <xdr:nvGraphicFramePr>
        <xdr:cNvPr id="1" name="Chart 1"/>
        <xdr:cNvGraphicFramePr/>
      </xdr:nvGraphicFramePr>
      <xdr:xfrm>
        <a:off x="9986040" y="190440"/>
        <a:ext cx="791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0</xdr:row>
      <xdr:rowOff>190440</xdr:rowOff>
    </xdr:from>
    <xdr:to>
      <xdr:col>18</xdr:col>
      <xdr:colOff>473040</xdr:colOff>
      <xdr:row>18</xdr:row>
      <xdr:rowOff>20160</xdr:rowOff>
    </xdr:to>
    <xdr:graphicFrame>
      <xdr:nvGraphicFramePr>
        <xdr:cNvPr id="2" name="Chart 1"/>
        <xdr:cNvGraphicFramePr/>
      </xdr:nvGraphicFramePr>
      <xdr:xfrm>
        <a:off x="8787600" y="190440"/>
        <a:ext cx="719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true" outlineLevel="0" collapsed="false">
      <c r="A4" s="3"/>
    </row>
    <row r="5" customFormat="false" ht="15" hidden="false" customHeight="true" outlineLevel="0" collapsed="false">
      <c r="A5" s="4" t="s">
        <v>2</v>
      </c>
    </row>
    <row r="6" customFormat="false" ht="15" hidden="false" customHeight="true" outlineLevel="0" collapsed="false">
      <c r="A6" s="3" t="s">
        <v>3</v>
      </c>
    </row>
    <row r="7" customFormat="false" ht="15" hidden="false" customHeight="true" outlineLevel="0" collapsed="false">
      <c r="A7" s="3" t="s">
        <v>4</v>
      </c>
    </row>
    <row r="8" customFormat="false" ht="15" hidden="false" customHeight="true" outlineLevel="0" collapsed="false">
      <c r="A8" s="3" t="s">
        <v>5</v>
      </c>
    </row>
    <row r="9" customFormat="false" ht="15" hidden="false" customHeight="true" outlineLevel="0" collapsed="false">
      <c r="A9" s="3" t="s">
        <v>6</v>
      </c>
    </row>
    <row r="10" customFormat="false" ht="15" hidden="false" customHeight="true" outlineLevel="0" collapsed="false">
      <c r="A10" s="3" t="s">
        <v>7</v>
      </c>
    </row>
    <row r="11" customFormat="false" ht="15" hidden="false" customHeight="true" outlineLevel="0" collapsed="false">
      <c r="A11" s="3" t="s">
        <v>8</v>
      </c>
    </row>
    <row r="12" customFormat="false" ht="15" hidden="false" customHeight="true" outlineLevel="0" collapsed="false">
      <c r="A12" s="3"/>
    </row>
    <row r="13" customFormat="false" ht="15" hidden="false" customHeight="true" outlineLevel="0" collapsed="false">
      <c r="A13" s="4" t="s">
        <v>9</v>
      </c>
    </row>
    <row r="14" customFormat="false" ht="15" hidden="false" customHeight="true" outlineLevel="0" collapsed="false">
      <c r="A14" s="3" t="s">
        <v>10</v>
      </c>
    </row>
    <row r="15" customFormat="false" ht="15" hidden="false" customHeight="true" outlineLevel="0" collapsed="false">
      <c r="A15" s="3" t="s">
        <v>11</v>
      </c>
    </row>
    <row r="16" customFormat="false" ht="15" hidden="false" customHeight="true" outlineLevel="0" collapsed="false">
      <c r="A16" s="3" t="s">
        <v>12</v>
      </c>
    </row>
    <row r="17" customFormat="false" ht="15" hidden="false" customHeight="true" outlineLevel="0" collapsed="false">
      <c r="A17" s="3" t="s">
        <v>13</v>
      </c>
    </row>
    <row r="18" customFormat="false" ht="15" hidden="false" customHeight="true" outlineLevel="0" collapsed="false">
      <c r="A18" s="3"/>
    </row>
    <row r="19" customFormat="false" ht="15" hidden="false" customHeight="true" outlineLevel="0" collapsed="false">
      <c r="A19" s="4" t="s">
        <v>14</v>
      </c>
    </row>
    <row r="20" customFormat="false" ht="15" hidden="false" customHeight="true" outlineLevel="0" collapsed="false">
      <c r="A20" s="3" t="s">
        <v>15</v>
      </c>
    </row>
    <row r="21" customFormat="false" ht="15" hidden="false" customHeight="true" outlineLevel="0" collapsed="false">
      <c r="A21" s="3" t="s">
        <v>16</v>
      </c>
    </row>
    <row r="22" customFormat="false" ht="15" hidden="false" customHeight="true" outlineLevel="0" collapsed="false">
      <c r="A22" s="3" t="s">
        <v>17</v>
      </c>
    </row>
    <row r="23" customFormat="false" ht="15" hidden="false" customHeight="true" outlineLevel="0" collapsed="false">
      <c r="A23" s="3" t="s">
        <v>18</v>
      </c>
    </row>
    <row r="24" customFormat="false" ht="15" hidden="false" customHeight="true" outlineLevel="0" collapsed="false">
      <c r="A24" s="3" t="s">
        <v>19</v>
      </c>
    </row>
    <row r="25" customFormat="false" ht="15" hidden="false" customHeight="true" outlineLevel="0" collapsed="false">
      <c r="A25" s="3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1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8"/>
    <col collapsed="false" customWidth="true" hidden="false" outlineLevel="0" max="4" min="3" style="0" width="16"/>
    <col collapsed="false" customWidth="true" hidden="false" outlineLevel="0" max="5" min="5" style="0" width="10"/>
    <col collapsed="false" customWidth="true" hidden="false" outlineLevel="0" max="7" min="6" style="0" width="11"/>
    <col collapsed="false" customWidth="true" hidden="false" outlineLevel="0" max="8" min="8" style="0" width="7"/>
    <col collapsed="false" customWidth="true" hidden="false" outlineLevel="0" max="9" min="9" style="0" width="10"/>
    <col collapsed="false" customWidth="true" hidden="false" outlineLevel="0" max="10" min="10" style="0" width="20"/>
    <col collapsed="false" customWidth="true" hidden="false" outlineLevel="0" max="11" min="11" style="0" width="9"/>
  </cols>
  <sheetData>
    <row r="1" customFormat="false" ht="26.85" hidden="false" customHeight="false" outlineLevel="0" collapsed="false">
      <c r="A1" s="5" t="s">
        <v>21</v>
      </c>
      <c r="B1" s="5" t="s">
        <v>22</v>
      </c>
      <c r="C1" s="5" t="s">
        <v>23</v>
      </c>
      <c r="D1" s="5" t="s">
        <v>24</v>
      </c>
      <c r="E1" s="5" t="s">
        <v>25</v>
      </c>
      <c r="F1" s="5" t="s">
        <v>26</v>
      </c>
      <c r="G1" s="5" t="s">
        <v>27</v>
      </c>
      <c r="H1" s="5" t="s">
        <v>28</v>
      </c>
      <c r="I1" s="5" t="s">
        <v>29</v>
      </c>
      <c r="J1" s="5" t="s">
        <v>30</v>
      </c>
      <c r="K1" s="5" t="s">
        <v>31</v>
      </c>
    </row>
    <row r="2" customFormat="false" ht="15" hidden="false" customHeight="false" outlineLevel="0" collapsed="false">
      <c r="A2" s="6" t="n">
        <v>460636</v>
      </c>
      <c r="B2" s="6" t="s">
        <v>32</v>
      </c>
      <c r="C2" s="6" t="s">
        <v>33</v>
      </c>
      <c r="D2" s="6" t="s">
        <v>34</v>
      </c>
      <c r="E2" s="6" t="s">
        <v>35</v>
      </c>
      <c r="F2" s="6" t="n">
        <v>13.064574</v>
      </c>
      <c r="G2" s="6" t="n">
        <v>77.257125</v>
      </c>
      <c r="H2" s="6" t="n">
        <v>1</v>
      </c>
      <c r="I2" s="6" t="n">
        <v>30</v>
      </c>
      <c r="J2" s="6" t="s">
        <v>36</v>
      </c>
      <c r="K2" s="7" t="b">
        <f aca="false">FALSE()</f>
        <v>0</v>
      </c>
    </row>
    <row r="3" customFormat="false" ht="15" hidden="false" customHeight="false" outlineLevel="0" collapsed="false">
      <c r="A3" s="6" t="n">
        <v>460478</v>
      </c>
      <c r="B3" s="6" t="s">
        <v>37</v>
      </c>
      <c r="C3" s="6" t="s">
        <v>38</v>
      </c>
      <c r="D3" s="6" t="s">
        <v>34</v>
      </c>
      <c r="E3" s="6" t="s">
        <v>35</v>
      </c>
      <c r="F3" s="6" t="n">
        <v>12.960134</v>
      </c>
      <c r="G3" s="6" t="n">
        <v>76.330239</v>
      </c>
      <c r="H3" s="6" t="n">
        <v>1</v>
      </c>
      <c r="I3" s="6" t="n">
        <v>120</v>
      </c>
      <c r="J3" s="6" t="s">
        <v>39</v>
      </c>
      <c r="K3" s="7" t="b">
        <f aca="false">TRUE()</f>
        <v>1</v>
      </c>
    </row>
    <row r="4" customFormat="false" ht="15" hidden="false" customHeight="false" outlineLevel="0" collapsed="false">
      <c r="A4" s="6" t="n">
        <v>460205</v>
      </c>
      <c r="B4" s="6" t="s">
        <v>40</v>
      </c>
      <c r="C4" s="6" t="s">
        <v>41</v>
      </c>
      <c r="D4" s="6" t="s">
        <v>42</v>
      </c>
      <c r="E4" s="6" t="s">
        <v>35</v>
      </c>
      <c r="F4" s="6" t="n">
        <v>21.651444</v>
      </c>
      <c r="G4" s="6" t="n">
        <v>87.6514</v>
      </c>
      <c r="H4" s="6" t="n">
        <v>1</v>
      </c>
      <c r="I4" s="6"/>
      <c r="J4" s="6" t="s">
        <v>43</v>
      </c>
      <c r="K4" s="7" t="b">
        <f aca="false">FALSE()</f>
        <v>0</v>
      </c>
    </row>
    <row r="5" customFormat="false" ht="15" hidden="false" customHeight="false" outlineLevel="0" collapsed="false">
      <c r="A5" s="6" t="n">
        <v>458918</v>
      </c>
      <c r="B5" s="6" t="s">
        <v>44</v>
      </c>
      <c r="C5" s="6" t="s">
        <v>45</v>
      </c>
      <c r="D5" s="6" t="s">
        <v>46</v>
      </c>
      <c r="E5" s="6" t="s">
        <v>35</v>
      </c>
      <c r="F5" s="6" t="n">
        <v>10.011485</v>
      </c>
      <c r="G5" s="6" t="n">
        <v>76.311387</v>
      </c>
      <c r="H5" s="6" t="n">
        <v>2</v>
      </c>
      <c r="I5" s="6" t="n">
        <v>60</v>
      </c>
      <c r="J5" s="6" t="s">
        <v>39</v>
      </c>
      <c r="K5" s="7" t="b">
        <f aca="false">TRUE()</f>
        <v>1</v>
      </c>
    </row>
    <row r="6" customFormat="false" ht="15" hidden="false" customHeight="false" outlineLevel="0" collapsed="false">
      <c r="A6" s="6" t="n">
        <v>458917</v>
      </c>
      <c r="B6" s="6" t="s">
        <v>47</v>
      </c>
      <c r="C6" s="6" t="s">
        <v>45</v>
      </c>
      <c r="D6" s="6" t="s">
        <v>46</v>
      </c>
      <c r="E6" s="6" t="s">
        <v>35</v>
      </c>
      <c r="F6" s="6" t="n">
        <v>10.039155</v>
      </c>
      <c r="G6" s="6" t="n">
        <v>76.315559</v>
      </c>
      <c r="H6" s="6" t="n">
        <v>1</v>
      </c>
      <c r="I6" s="6" t="n">
        <v>30</v>
      </c>
      <c r="J6" s="6" t="s">
        <v>36</v>
      </c>
      <c r="K6" s="7" t="b">
        <f aca="false">FALSE()</f>
        <v>0</v>
      </c>
    </row>
    <row r="7" customFormat="false" ht="15" hidden="false" customHeight="false" outlineLevel="0" collapsed="false">
      <c r="A7" s="6" t="n">
        <v>458916</v>
      </c>
      <c r="B7" s="6" t="s">
        <v>48</v>
      </c>
      <c r="C7" s="6" t="s">
        <v>49</v>
      </c>
      <c r="D7" s="6" t="s">
        <v>46</v>
      </c>
      <c r="E7" s="6" t="s">
        <v>35</v>
      </c>
      <c r="F7" s="6" t="n">
        <v>10.081303</v>
      </c>
      <c r="G7" s="6" t="n">
        <v>76.339462</v>
      </c>
      <c r="H7" s="6" t="n">
        <v>1</v>
      </c>
      <c r="I7" s="6" t="n">
        <v>60</v>
      </c>
      <c r="J7" s="6" t="s">
        <v>39</v>
      </c>
      <c r="K7" s="7" t="b">
        <f aca="false">TRUE()</f>
        <v>1</v>
      </c>
    </row>
    <row r="8" customFormat="false" ht="15" hidden="false" customHeight="false" outlineLevel="0" collapsed="false">
      <c r="A8" s="6" t="n">
        <v>458915</v>
      </c>
      <c r="B8" s="6" t="s">
        <v>50</v>
      </c>
      <c r="C8" s="6" t="s">
        <v>51</v>
      </c>
      <c r="D8" s="6" t="s">
        <v>46</v>
      </c>
      <c r="E8" s="6" t="s">
        <v>35</v>
      </c>
      <c r="F8" s="6" t="n">
        <v>10.159995</v>
      </c>
      <c r="G8" s="6" t="n">
        <v>76.390154</v>
      </c>
      <c r="H8" s="6" t="n">
        <v>1</v>
      </c>
      <c r="I8" s="6" t="n">
        <v>30</v>
      </c>
      <c r="J8" s="6" t="s">
        <v>36</v>
      </c>
      <c r="K8" s="7" t="b">
        <f aca="false">FALSE()</f>
        <v>0</v>
      </c>
    </row>
    <row r="9" customFormat="false" ht="15" hidden="false" customHeight="false" outlineLevel="0" collapsed="false">
      <c r="A9" s="6" t="n">
        <v>458914</v>
      </c>
      <c r="B9" s="6" t="s">
        <v>52</v>
      </c>
      <c r="C9" s="6" t="s">
        <v>51</v>
      </c>
      <c r="D9" s="6" t="s">
        <v>46</v>
      </c>
      <c r="E9" s="6" t="s">
        <v>35</v>
      </c>
      <c r="F9" s="6" t="n">
        <v>10.162224</v>
      </c>
      <c r="G9" s="6" t="n">
        <v>76.384653</v>
      </c>
      <c r="H9" s="6" t="n">
        <v>1</v>
      </c>
      <c r="I9" s="6" t="n">
        <v>30</v>
      </c>
      <c r="J9" s="6" t="s">
        <v>36</v>
      </c>
      <c r="K9" s="7" t="b">
        <f aca="false">FALSE()</f>
        <v>0</v>
      </c>
    </row>
    <row r="10" customFormat="false" ht="15" hidden="false" customHeight="false" outlineLevel="0" collapsed="false">
      <c r="A10" s="6" t="n">
        <v>458913</v>
      </c>
      <c r="B10" s="6" t="s">
        <v>53</v>
      </c>
      <c r="C10" s="6" t="s">
        <v>54</v>
      </c>
      <c r="D10" s="6" t="s">
        <v>46</v>
      </c>
      <c r="E10" s="6" t="s">
        <v>35</v>
      </c>
      <c r="F10" s="6" t="n">
        <v>10.162042</v>
      </c>
      <c r="G10" s="6" t="n">
        <v>76.367356</v>
      </c>
      <c r="H10" s="6" t="n">
        <v>1</v>
      </c>
      <c r="I10" s="6" t="n">
        <v>30</v>
      </c>
      <c r="J10" s="6" t="s">
        <v>36</v>
      </c>
      <c r="K10" s="7" t="b">
        <f aca="false">FALSE()</f>
        <v>0</v>
      </c>
    </row>
    <row r="11" customFormat="false" ht="15" hidden="false" customHeight="false" outlineLevel="0" collapsed="false">
      <c r="A11" s="6" t="n">
        <v>458912</v>
      </c>
      <c r="B11" s="6" t="s">
        <v>55</v>
      </c>
      <c r="C11" s="6" t="s">
        <v>56</v>
      </c>
      <c r="D11" s="6" t="s">
        <v>46</v>
      </c>
      <c r="E11" s="6" t="s">
        <v>35</v>
      </c>
      <c r="F11" s="6" t="n">
        <v>10.22106</v>
      </c>
      <c r="G11" s="6" t="n">
        <v>76.376752</v>
      </c>
      <c r="H11" s="6" t="n">
        <v>1</v>
      </c>
      <c r="I11" s="6" t="n">
        <v>30</v>
      </c>
      <c r="J11" s="6" t="s">
        <v>36</v>
      </c>
      <c r="K11" s="7" t="b">
        <f aca="false">FALSE()</f>
        <v>0</v>
      </c>
    </row>
    <row r="12" customFormat="false" ht="15" hidden="false" customHeight="false" outlineLevel="0" collapsed="false">
      <c r="A12" s="6" t="n">
        <v>458911</v>
      </c>
      <c r="B12" s="6" t="s">
        <v>57</v>
      </c>
      <c r="C12" s="6" t="s">
        <v>58</v>
      </c>
      <c r="D12" s="6" t="s">
        <v>46</v>
      </c>
      <c r="E12" s="6" t="s">
        <v>35</v>
      </c>
      <c r="F12" s="6" t="n">
        <v>10.232489</v>
      </c>
      <c r="G12" s="6" t="n">
        <v>76.19594</v>
      </c>
      <c r="H12" s="6" t="n">
        <v>1</v>
      </c>
      <c r="I12" s="6" t="n">
        <v>30</v>
      </c>
      <c r="J12" s="6" t="s">
        <v>36</v>
      </c>
      <c r="K12" s="7" t="b">
        <f aca="false">FALSE()</f>
        <v>0</v>
      </c>
    </row>
    <row r="13" customFormat="false" ht="15" hidden="false" customHeight="false" outlineLevel="0" collapsed="false">
      <c r="A13" s="6" t="n">
        <v>458910</v>
      </c>
      <c r="B13" s="6" t="s">
        <v>59</v>
      </c>
      <c r="C13" s="6" t="s">
        <v>60</v>
      </c>
      <c r="D13" s="6" t="s">
        <v>46</v>
      </c>
      <c r="E13" s="6" t="s">
        <v>35</v>
      </c>
      <c r="F13" s="6" t="n">
        <v>10.769831</v>
      </c>
      <c r="G13" s="6" t="n">
        <v>76.668097</v>
      </c>
      <c r="H13" s="6" t="n">
        <v>2</v>
      </c>
      <c r="I13" s="6" t="n">
        <v>30</v>
      </c>
      <c r="J13" s="6" t="s">
        <v>36</v>
      </c>
      <c r="K13" s="7" t="b">
        <f aca="false">FALSE()</f>
        <v>0</v>
      </c>
    </row>
    <row r="14" customFormat="false" ht="15" hidden="false" customHeight="false" outlineLevel="0" collapsed="false">
      <c r="A14" s="6" t="n">
        <v>458909</v>
      </c>
      <c r="B14" s="6" t="s">
        <v>61</v>
      </c>
      <c r="C14" s="6" t="s">
        <v>62</v>
      </c>
      <c r="D14" s="6" t="s">
        <v>46</v>
      </c>
      <c r="E14" s="6" t="s">
        <v>35</v>
      </c>
      <c r="F14" s="6" t="n">
        <v>10.782258</v>
      </c>
      <c r="G14" s="6" t="n">
        <v>76.658245</v>
      </c>
      <c r="H14" s="6" t="n">
        <v>1</v>
      </c>
      <c r="I14" s="6" t="n">
        <v>30</v>
      </c>
      <c r="J14" s="6" t="s">
        <v>36</v>
      </c>
      <c r="K14" s="7" t="b">
        <f aca="false">FALSE()</f>
        <v>0</v>
      </c>
    </row>
    <row r="15" customFormat="false" ht="15" hidden="false" customHeight="false" outlineLevel="0" collapsed="false">
      <c r="A15" s="6" t="n">
        <v>458908</v>
      </c>
      <c r="B15" s="6" t="s">
        <v>63</v>
      </c>
      <c r="C15" s="6" t="s">
        <v>64</v>
      </c>
      <c r="D15" s="6" t="s">
        <v>46</v>
      </c>
      <c r="E15" s="6" t="s">
        <v>35</v>
      </c>
      <c r="F15" s="6" t="n">
        <v>10.436187</v>
      </c>
      <c r="G15" s="6" t="n">
        <v>76.265206</v>
      </c>
      <c r="H15" s="6" t="n">
        <v>1</v>
      </c>
      <c r="I15" s="6" t="n">
        <v>25</v>
      </c>
      <c r="J15" s="6" t="s">
        <v>36</v>
      </c>
      <c r="K15" s="7" t="b">
        <f aca="false">FALSE()</f>
        <v>0</v>
      </c>
    </row>
    <row r="16" customFormat="false" ht="15" hidden="false" customHeight="false" outlineLevel="0" collapsed="false">
      <c r="A16" s="6" t="n">
        <v>458907</v>
      </c>
      <c r="B16" s="6" t="s">
        <v>65</v>
      </c>
      <c r="C16" s="6" t="s">
        <v>66</v>
      </c>
      <c r="D16" s="6" t="s">
        <v>46</v>
      </c>
      <c r="E16" s="6" t="s">
        <v>35</v>
      </c>
      <c r="F16" s="6" t="n">
        <v>10.496728</v>
      </c>
      <c r="G16" s="6" t="n">
        <v>76.258361</v>
      </c>
      <c r="H16" s="6" t="n">
        <v>2</v>
      </c>
      <c r="I16" s="6" t="n">
        <v>60</v>
      </c>
      <c r="J16" s="6" t="s">
        <v>39</v>
      </c>
      <c r="K16" s="7" t="b">
        <f aca="false">TRUE()</f>
        <v>1</v>
      </c>
    </row>
    <row r="17" customFormat="false" ht="15" hidden="false" customHeight="false" outlineLevel="0" collapsed="false">
      <c r="A17" s="6" t="n">
        <v>458906</v>
      </c>
      <c r="B17" s="6" t="s">
        <v>67</v>
      </c>
      <c r="C17" s="6" t="s">
        <v>66</v>
      </c>
      <c r="D17" s="6" t="s">
        <v>46</v>
      </c>
      <c r="E17" s="6" t="s">
        <v>35</v>
      </c>
      <c r="F17" s="6" t="n">
        <v>10.52294</v>
      </c>
      <c r="G17" s="6" t="n">
        <v>76.206248</v>
      </c>
      <c r="H17" s="6" t="n">
        <v>1</v>
      </c>
      <c r="I17" s="6" t="n">
        <v>30</v>
      </c>
      <c r="J17" s="6" t="s">
        <v>36</v>
      </c>
      <c r="K17" s="7" t="b">
        <f aca="false">FALSE()</f>
        <v>0</v>
      </c>
    </row>
    <row r="18" customFormat="false" ht="15" hidden="false" customHeight="false" outlineLevel="0" collapsed="false">
      <c r="A18" s="6" t="n">
        <v>458905</v>
      </c>
      <c r="B18" s="6" t="s">
        <v>68</v>
      </c>
      <c r="C18" s="6" t="s">
        <v>66</v>
      </c>
      <c r="D18" s="6" t="s">
        <v>46</v>
      </c>
      <c r="E18" s="6" t="s">
        <v>35</v>
      </c>
      <c r="F18" s="6" t="n">
        <v>10.540423</v>
      </c>
      <c r="G18" s="6" t="n">
        <v>76.189678</v>
      </c>
      <c r="H18" s="6" t="n">
        <v>2</v>
      </c>
      <c r="I18" s="6" t="n">
        <v>25</v>
      </c>
      <c r="J18" s="6" t="s">
        <v>36</v>
      </c>
      <c r="K18" s="7" t="b">
        <f aca="false">FALSE()</f>
        <v>0</v>
      </c>
    </row>
    <row r="19" customFormat="false" ht="15" hidden="false" customHeight="false" outlineLevel="0" collapsed="false">
      <c r="A19" s="6" t="n">
        <v>458904</v>
      </c>
      <c r="B19" s="6" t="s">
        <v>69</v>
      </c>
      <c r="C19" s="6" t="s">
        <v>70</v>
      </c>
      <c r="D19" s="6" t="s">
        <v>46</v>
      </c>
      <c r="E19" s="6" t="s">
        <v>35</v>
      </c>
      <c r="F19" s="6" t="n">
        <v>10.596357</v>
      </c>
      <c r="G19" s="6" t="n">
        <v>76.042934</v>
      </c>
      <c r="H19" s="6" t="n">
        <v>2</v>
      </c>
      <c r="I19" s="6" t="n">
        <v>25</v>
      </c>
      <c r="J19" s="6" t="s">
        <v>36</v>
      </c>
      <c r="K19" s="7" t="b">
        <f aca="false">FALSE()</f>
        <v>0</v>
      </c>
    </row>
    <row r="20" customFormat="false" ht="15" hidden="false" customHeight="false" outlineLevel="0" collapsed="false">
      <c r="A20" s="6" t="n">
        <v>314018</v>
      </c>
      <c r="B20" s="6" t="s">
        <v>71</v>
      </c>
      <c r="C20" s="6" t="s">
        <v>71</v>
      </c>
      <c r="D20" s="6" t="s">
        <v>72</v>
      </c>
      <c r="E20" s="6" t="s">
        <v>35</v>
      </c>
      <c r="F20" s="6" t="n">
        <v>19.757594</v>
      </c>
      <c r="G20" s="6" t="n">
        <v>74.476347</v>
      </c>
      <c r="H20" s="6" t="n">
        <v>1</v>
      </c>
      <c r="I20" s="6" t="n">
        <v>30</v>
      </c>
      <c r="J20" s="6" t="s">
        <v>36</v>
      </c>
      <c r="K20" s="7" t="b">
        <f aca="false">FALSE()</f>
        <v>0</v>
      </c>
    </row>
    <row r="21" customFormat="false" ht="15" hidden="false" customHeight="false" outlineLevel="0" collapsed="false">
      <c r="A21" s="6" t="n">
        <v>313995</v>
      </c>
      <c r="B21" s="6" t="s">
        <v>73</v>
      </c>
      <c r="C21" s="6" t="s">
        <v>74</v>
      </c>
      <c r="D21" s="6" t="s">
        <v>46</v>
      </c>
      <c r="E21" s="6" t="s">
        <v>35</v>
      </c>
      <c r="F21" s="6" t="n">
        <v>10.960238</v>
      </c>
      <c r="G21" s="6" t="n">
        <v>76.234679</v>
      </c>
      <c r="H21" s="6" t="n">
        <v>1</v>
      </c>
      <c r="I21" s="6" t="n">
        <v>25</v>
      </c>
      <c r="J21" s="6" t="s">
        <v>36</v>
      </c>
      <c r="K21" s="7" t="b">
        <f aca="false">FALSE()</f>
        <v>0</v>
      </c>
    </row>
    <row r="22" customFormat="false" ht="15" hidden="false" customHeight="false" outlineLevel="0" collapsed="false">
      <c r="A22" s="6" t="n">
        <v>313994</v>
      </c>
      <c r="B22" s="6" t="s">
        <v>75</v>
      </c>
      <c r="C22" s="6" t="s">
        <v>74</v>
      </c>
      <c r="D22" s="6" t="s">
        <v>46</v>
      </c>
      <c r="E22" s="6" t="s">
        <v>35</v>
      </c>
      <c r="F22" s="6" t="n">
        <v>10.984503</v>
      </c>
      <c r="G22" s="6" t="n">
        <v>76.187847</v>
      </c>
      <c r="H22" s="6" t="n">
        <v>1</v>
      </c>
      <c r="I22" s="6" t="n">
        <v>30</v>
      </c>
      <c r="J22" s="6" t="s">
        <v>36</v>
      </c>
      <c r="K22" s="7" t="b">
        <f aca="false">FALSE()</f>
        <v>0</v>
      </c>
    </row>
    <row r="23" customFormat="false" ht="15" hidden="false" customHeight="false" outlineLevel="0" collapsed="false">
      <c r="A23" s="6" t="n">
        <v>313993</v>
      </c>
      <c r="B23" s="6" t="s">
        <v>76</v>
      </c>
      <c r="C23" s="6" t="s">
        <v>77</v>
      </c>
      <c r="D23" s="6" t="s">
        <v>46</v>
      </c>
      <c r="E23" s="6" t="s">
        <v>35</v>
      </c>
      <c r="F23" s="6" t="n">
        <v>10.897914</v>
      </c>
      <c r="G23" s="6" t="n">
        <v>76.06101</v>
      </c>
      <c r="H23" s="6" t="n">
        <v>1</v>
      </c>
      <c r="I23" s="6" t="n">
        <v>30</v>
      </c>
      <c r="J23" s="6" t="s">
        <v>36</v>
      </c>
      <c r="K23" s="7" t="b">
        <f aca="false">FALSE()</f>
        <v>0</v>
      </c>
    </row>
    <row r="24" customFormat="false" ht="15" hidden="false" customHeight="false" outlineLevel="0" collapsed="false">
      <c r="A24" s="6" t="n">
        <v>313992</v>
      </c>
      <c r="B24" s="6" t="s">
        <v>78</v>
      </c>
      <c r="C24" s="6" t="s">
        <v>79</v>
      </c>
      <c r="D24" s="6" t="s">
        <v>46</v>
      </c>
      <c r="E24" s="6" t="s">
        <v>35</v>
      </c>
      <c r="F24" s="6" t="n">
        <v>10.918581</v>
      </c>
      <c r="G24" s="6" t="n">
        <v>75.917798</v>
      </c>
      <c r="H24" s="6" t="n">
        <v>1</v>
      </c>
      <c r="I24" s="6" t="n">
        <v>30</v>
      </c>
      <c r="J24" s="6" t="s">
        <v>36</v>
      </c>
      <c r="K24" s="7" t="b">
        <f aca="false">FALSE()</f>
        <v>0</v>
      </c>
    </row>
    <row r="25" customFormat="false" ht="15" hidden="false" customHeight="false" outlineLevel="0" collapsed="false">
      <c r="A25" s="6" t="n">
        <v>313991</v>
      </c>
      <c r="B25" s="6" t="s">
        <v>80</v>
      </c>
      <c r="C25" s="6" t="s">
        <v>81</v>
      </c>
      <c r="D25" s="6" t="s">
        <v>46</v>
      </c>
      <c r="E25" s="6" t="s">
        <v>35</v>
      </c>
      <c r="F25" s="6" t="n">
        <v>11.052515</v>
      </c>
      <c r="G25" s="6" t="n">
        <v>76.07764</v>
      </c>
      <c r="H25" s="6" t="n">
        <v>2</v>
      </c>
      <c r="I25" s="6" t="n">
        <v>60</v>
      </c>
      <c r="J25" s="6" t="s">
        <v>39</v>
      </c>
      <c r="K25" s="7" t="b">
        <f aca="false">TRUE()</f>
        <v>1</v>
      </c>
    </row>
    <row r="26" customFormat="false" ht="15" hidden="false" customHeight="false" outlineLevel="0" collapsed="false">
      <c r="A26" s="6" t="n">
        <v>313990</v>
      </c>
      <c r="B26" s="6" t="s">
        <v>82</v>
      </c>
      <c r="C26" s="6" t="s">
        <v>81</v>
      </c>
      <c r="D26" s="6" t="s">
        <v>46</v>
      </c>
      <c r="E26" s="6" t="s">
        <v>35</v>
      </c>
      <c r="F26" s="6" t="n">
        <v>11.060403</v>
      </c>
      <c r="G26" s="6" t="n">
        <v>76.080844</v>
      </c>
      <c r="H26" s="6" t="n">
        <v>1</v>
      </c>
      <c r="I26" s="6" t="n">
        <v>30</v>
      </c>
      <c r="J26" s="6" t="s">
        <v>36</v>
      </c>
      <c r="K26" s="7" t="b">
        <f aca="false">FALSE()</f>
        <v>0</v>
      </c>
    </row>
    <row r="27" customFormat="false" ht="15" hidden="false" customHeight="false" outlineLevel="0" collapsed="false">
      <c r="A27" s="6" t="n">
        <v>313989</v>
      </c>
      <c r="B27" s="6" t="s">
        <v>83</v>
      </c>
      <c r="C27" s="6" t="s">
        <v>84</v>
      </c>
      <c r="D27" s="6" t="s">
        <v>46</v>
      </c>
      <c r="E27" s="6" t="s">
        <v>35</v>
      </c>
      <c r="F27" s="6" t="n">
        <v>11.118906</v>
      </c>
      <c r="G27" s="6" t="n">
        <v>76.118474</v>
      </c>
      <c r="H27" s="6" t="n">
        <v>2</v>
      </c>
      <c r="I27" s="6" t="n">
        <v>25</v>
      </c>
      <c r="J27" s="6" t="s">
        <v>36</v>
      </c>
      <c r="K27" s="7" t="b">
        <f aca="false">FALSE()</f>
        <v>0</v>
      </c>
    </row>
    <row r="28" customFormat="false" ht="15" hidden="false" customHeight="false" outlineLevel="0" collapsed="false">
      <c r="A28" s="6" t="n">
        <v>313988</v>
      </c>
      <c r="B28" s="6" t="s">
        <v>85</v>
      </c>
      <c r="C28" s="6" t="s">
        <v>86</v>
      </c>
      <c r="D28" s="6" t="s">
        <v>46</v>
      </c>
      <c r="E28" s="6" t="s">
        <v>35</v>
      </c>
      <c r="F28" s="6" t="n">
        <v>11.204146</v>
      </c>
      <c r="G28" s="6" t="n">
        <v>76.136734</v>
      </c>
      <c r="H28" s="6" t="n">
        <v>2</v>
      </c>
      <c r="I28" s="6" t="n">
        <v>60</v>
      </c>
      <c r="J28" s="6" t="s">
        <v>39</v>
      </c>
      <c r="K28" s="7" t="b">
        <f aca="false">TRUE()</f>
        <v>1</v>
      </c>
    </row>
    <row r="29" customFormat="false" ht="15" hidden="false" customHeight="false" outlineLevel="0" collapsed="false">
      <c r="A29" s="6" t="n">
        <v>313980</v>
      </c>
      <c r="B29" s="6" t="s">
        <v>87</v>
      </c>
      <c r="C29" s="6" t="s">
        <v>88</v>
      </c>
      <c r="D29" s="6" t="s">
        <v>46</v>
      </c>
      <c r="E29" s="6" t="s">
        <v>35</v>
      </c>
      <c r="F29" s="6" t="n">
        <v>11.22325</v>
      </c>
      <c r="G29" s="6" t="n">
        <v>76.216915</v>
      </c>
      <c r="H29" s="6" t="n">
        <v>1</v>
      </c>
      <c r="I29" s="6" t="n">
        <v>30</v>
      </c>
      <c r="J29" s="6" t="s">
        <v>36</v>
      </c>
      <c r="K29" s="7" t="b">
        <f aca="false">FALSE()</f>
        <v>0</v>
      </c>
    </row>
    <row r="30" customFormat="false" ht="15" hidden="false" customHeight="false" outlineLevel="0" collapsed="false">
      <c r="A30" s="6" t="n">
        <v>313979</v>
      </c>
      <c r="B30" s="6" t="s">
        <v>89</v>
      </c>
      <c r="C30" s="6" t="s">
        <v>88</v>
      </c>
      <c r="D30" s="6" t="s">
        <v>46</v>
      </c>
      <c r="E30" s="6" t="s">
        <v>35</v>
      </c>
      <c r="F30" s="6" t="n">
        <v>11.211054</v>
      </c>
      <c r="G30" s="6" t="n">
        <v>76.224685</v>
      </c>
      <c r="H30" s="6" t="n">
        <v>1</v>
      </c>
      <c r="I30" s="6" t="n">
        <v>30</v>
      </c>
      <c r="J30" s="6" t="s">
        <v>36</v>
      </c>
      <c r="K30" s="7" t="b">
        <f aca="false">FALSE()</f>
        <v>0</v>
      </c>
    </row>
    <row r="31" customFormat="false" ht="15" hidden="false" customHeight="false" outlineLevel="0" collapsed="false">
      <c r="A31" s="6" t="n">
        <v>313978</v>
      </c>
      <c r="B31" s="6" t="s">
        <v>90</v>
      </c>
      <c r="C31" s="6" t="s">
        <v>91</v>
      </c>
      <c r="D31" s="6" t="s">
        <v>46</v>
      </c>
      <c r="E31" s="6" t="s">
        <v>35</v>
      </c>
      <c r="F31" s="6" t="n">
        <v>11.140292</v>
      </c>
      <c r="G31" s="6" t="n">
        <v>75.948314</v>
      </c>
      <c r="H31" s="6" t="n">
        <v>2</v>
      </c>
      <c r="I31" s="6" t="n">
        <v>60</v>
      </c>
      <c r="J31" s="6" t="s">
        <v>39</v>
      </c>
      <c r="K31" s="7" t="b">
        <f aca="false">TRUE()</f>
        <v>1</v>
      </c>
    </row>
    <row r="32" customFormat="false" ht="15" hidden="false" customHeight="false" outlineLevel="0" collapsed="false">
      <c r="A32" s="6" t="n">
        <v>313955</v>
      </c>
      <c r="B32" s="6" t="s">
        <v>92</v>
      </c>
      <c r="C32" s="6" t="s">
        <v>93</v>
      </c>
      <c r="D32" s="6" t="s">
        <v>46</v>
      </c>
      <c r="E32" s="6" t="s">
        <v>35</v>
      </c>
      <c r="F32" s="6" t="n">
        <v>11.216965</v>
      </c>
      <c r="G32" s="6" t="n">
        <v>75.857951</v>
      </c>
      <c r="H32" s="6" t="n">
        <v>2</v>
      </c>
      <c r="I32" s="6" t="n">
        <v>25</v>
      </c>
      <c r="J32" s="6" t="s">
        <v>36</v>
      </c>
      <c r="K32" s="7" t="b">
        <f aca="false">FALSE()</f>
        <v>0</v>
      </c>
    </row>
    <row r="33" customFormat="false" ht="15" hidden="false" customHeight="false" outlineLevel="0" collapsed="false">
      <c r="A33" s="6" t="n">
        <v>313954</v>
      </c>
      <c r="B33" s="6" t="s">
        <v>94</v>
      </c>
      <c r="C33" s="6" t="s">
        <v>95</v>
      </c>
      <c r="D33" s="6" t="s">
        <v>46</v>
      </c>
      <c r="E33" s="6" t="s">
        <v>35</v>
      </c>
      <c r="F33" s="6" t="n">
        <v>11.213909</v>
      </c>
      <c r="G33" s="6" t="n">
        <v>75.802632</v>
      </c>
      <c r="H33" s="6" t="n">
        <v>1</v>
      </c>
      <c r="I33" s="6" t="n">
        <v>30</v>
      </c>
      <c r="J33" s="6" t="s">
        <v>36</v>
      </c>
      <c r="K33" s="7" t="b">
        <f aca="false">FALSE()</f>
        <v>0</v>
      </c>
    </row>
    <row r="34" customFormat="false" ht="15" hidden="false" customHeight="false" outlineLevel="0" collapsed="false">
      <c r="A34" s="6" t="n">
        <v>313953</v>
      </c>
      <c r="B34" s="6" t="s">
        <v>96</v>
      </c>
      <c r="C34" s="6" t="s">
        <v>93</v>
      </c>
      <c r="D34" s="6" t="s">
        <v>46</v>
      </c>
      <c r="E34" s="6" t="s">
        <v>35</v>
      </c>
      <c r="F34" s="6" t="n">
        <v>11.233627</v>
      </c>
      <c r="G34" s="6" t="n">
        <v>75.803239</v>
      </c>
      <c r="H34" s="6" t="n">
        <v>1</v>
      </c>
      <c r="I34" s="6" t="n">
        <v>30</v>
      </c>
      <c r="J34" s="6" t="s">
        <v>36</v>
      </c>
      <c r="K34" s="7" t="b">
        <f aca="false">FALSE()</f>
        <v>0</v>
      </c>
    </row>
    <row r="35" customFormat="false" ht="15" hidden="false" customHeight="false" outlineLevel="0" collapsed="false">
      <c r="A35" s="6" t="n">
        <v>313952</v>
      </c>
      <c r="B35" s="6" t="s">
        <v>97</v>
      </c>
      <c r="C35" s="6" t="s">
        <v>93</v>
      </c>
      <c r="D35" s="6" t="s">
        <v>46</v>
      </c>
      <c r="E35" s="6" t="s">
        <v>35</v>
      </c>
      <c r="F35" s="6" t="n">
        <v>11.258465</v>
      </c>
      <c r="G35" s="6" t="n">
        <v>75.792906</v>
      </c>
      <c r="H35" s="6" t="n">
        <v>5</v>
      </c>
      <c r="I35" s="6" t="n">
        <v>25</v>
      </c>
      <c r="J35" s="6" t="s">
        <v>36</v>
      </c>
      <c r="K35" s="7" t="b">
        <f aca="false">FALSE()</f>
        <v>0</v>
      </c>
    </row>
    <row r="36" customFormat="false" ht="15" hidden="false" customHeight="false" outlineLevel="0" collapsed="false">
      <c r="A36" s="6" t="n">
        <v>313951</v>
      </c>
      <c r="B36" s="6" t="s">
        <v>98</v>
      </c>
      <c r="C36" s="6" t="s">
        <v>93</v>
      </c>
      <c r="D36" s="6" t="s">
        <v>46</v>
      </c>
      <c r="E36" s="6" t="s">
        <v>35</v>
      </c>
      <c r="F36" s="6" t="n">
        <v>11.259214</v>
      </c>
      <c r="G36" s="6" t="n">
        <v>75.779335</v>
      </c>
      <c r="H36" s="6" t="n">
        <v>2</v>
      </c>
      <c r="I36" s="6" t="n">
        <v>25</v>
      </c>
      <c r="J36" s="6" t="s">
        <v>36</v>
      </c>
      <c r="K36" s="7" t="b">
        <f aca="false">FALSE()</f>
        <v>0</v>
      </c>
    </row>
    <row r="37" customFormat="false" ht="15" hidden="false" customHeight="false" outlineLevel="0" collapsed="false">
      <c r="A37" s="6" t="n">
        <v>313950</v>
      </c>
      <c r="B37" s="6" t="s">
        <v>99</v>
      </c>
      <c r="C37" s="6" t="s">
        <v>93</v>
      </c>
      <c r="D37" s="6" t="s">
        <v>46</v>
      </c>
      <c r="E37" s="6" t="s">
        <v>35</v>
      </c>
      <c r="F37" s="6" t="n">
        <v>11.25869</v>
      </c>
      <c r="G37" s="6" t="n">
        <v>75.773979</v>
      </c>
      <c r="H37" s="6" t="n">
        <v>2</v>
      </c>
      <c r="I37" s="6" t="n">
        <v>30</v>
      </c>
      <c r="J37" s="6" t="s">
        <v>36</v>
      </c>
      <c r="K37" s="7" t="b">
        <f aca="false">FALSE()</f>
        <v>0</v>
      </c>
    </row>
    <row r="38" customFormat="false" ht="15" hidden="false" customHeight="false" outlineLevel="0" collapsed="false">
      <c r="A38" s="6" t="n">
        <v>313947</v>
      </c>
      <c r="B38" s="6" t="s">
        <v>100</v>
      </c>
      <c r="C38" s="6" t="s">
        <v>101</v>
      </c>
      <c r="D38" s="6" t="s">
        <v>46</v>
      </c>
      <c r="E38" s="6" t="s">
        <v>35</v>
      </c>
      <c r="F38" s="6" t="n">
        <v>11.46505</v>
      </c>
      <c r="G38" s="6" t="n">
        <v>75.970175</v>
      </c>
      <c r="H38" s="6" t="n">
        <v>1</v>
      </c>
      <c r="I38" s="6" t="n">
        <v>25</v>
      </c>
      <c r="J38" s="6" t="s">
        <v>36</v>
      </c>
      <c r="K38" s="7" t="b">
        <f aca="false">FALSE()</f>
        <v>0</v>
      </c>
    </row>
    <row r="39" customFormat="false" ht="15" hidden="false" customHeight="false" outlineLevel="0" collapsed="false">
      <c r="A39" s="6" t="n">
        <v>313946</v>
      </c>
      <c r="B39" s="6" t="s">
        <v>102</v>
      </c>
      <c r="C39" s="6" t="s">
        <v>103</v>
      </c>
      <c r="D39" s="6" t="s">
        <v>46</v>
      </c>
      <c r="E39" s="6" t="s">
        <v>35</v>
      </c>
      <c r="F39" s="6" t="n">
        <v>11.660943</v>
      </c>
      <c r="G39" s="6" t="n">
        <v>76.240023</v>
      </c>
      <c r="H39" s="6" t="n">
        <v>1</v>
      </c>
      <c r="I39" s="6" t="n">
        <v>30</v>
      </c>
      <c r="J39" s="6" t="s">
        <v>36</v>
      </c>
      <c r="K39" s="7" t="b">
        <f aca="false">FALSE()</f>
        <v>0</v>
      </c>
    </row>
    <row r="40" customFormat="false" ht="15" hidden="false" customHeight="false" outlineLevel="0" collapsed="false">
      <c r="A40" s="6" t="n">
        <v>313945</v>
      </c>
      <c r="B40" s="6" t="s">
        <v>104</v>
      </c>
      <c r="C40" s="6" t="s">
        <v>105</v>
      </c>
      <c r="D40" s="6" t="s">
        <v>46</v>
      </c>
      <c r="E40" s="6" t="s">
        <v>35</v>
      </c>
      <c r="F40" s="6" t="n">
        <v>11.659328</v>
      </c>
      <c r="G40" s="6" t="n">
        <v>76.207185</v>
      </c>
      <c r="H40" s="6" t="n">
        <v>2</v>
      </c>
      <c r="I40" s="6" t="n">
        <v>60</v>
      </c>
      <c r="J40" s="6" t="s">
        <v>39</v>
      </c>
      <c r="K40" s="7" t="b">
        <f aca="false">TRUE()</f>
        <v>1</v>
      </c>
    </row>
    <row r="41" customFormat="false" ht="15" hidden="false" customHeight="false" outlineLevel="0" collapsed="false">
      <c r="A41" s="6" t="n">
        <v>313944</v>
      </c>
      <c r="B41" s="6" t="s">
        <v>106</v>
      </c>
      <c r="C41" s="6" t="s">
        <v>107</v>
      </c>
      <c r="D41" s="6" t="s">
        <v>46</v>
      </c>
      <c r="E41" s="6" t="s">
        <v>35</v>
      </c>
      <c r="F41" s="6" t="n">
        <v>11.637353</v>
      </c>
      <c r="G41" s="6" t="n">
        <v>76.094685</v>
      </c>
      <c r="H41" s="6" t="n">
        <v>1</v>
      </c>
      <c r="I41" s="6" t="n">
        <v>30</v>
      </c>
      <c r="J41" s="6" t="s">
        <v>36</v>
      </c>
      <c r="K41" s="7" t="b">
        <f aca="false">FALSE()</f>
        <v>0</v>
      </c>
    </row>
    <row r="42" customFormat="false" ht="15" hidden="false" customHeight="false" outlineLevel="0" collapsed="false">
      <c r="A42" s="6" t="n">
        <v>313943</v>
      </c>
      <c r="B42" s="6" t="s">
        <v>108</v>
      </c>
      <c r="C42" s="6" t="s">
        <v>109</v>
      </c>
      <c r="D42" s="6" t="s">
        <v>46</v>
      </c>
      <c r="E42" s="6" t="s">
        <v>35</v>
      </c>
      <c r="F42" s="6" t="n">
        <v>11.657633</v>
      </c>
      <c r="G42" s="6" t="n">
        <v>75.960432</v>
      </c>
      <c r="H42" s="6" t="n">
        <v>2</v>
      </c>
      <c r="I42" s="6" t="n">
        <v>30</v>
      </c>
      <c r="J42" s="6" t="s">
        <v>36</v>
      </c>
      <c r="K42" s="7" t="b">
        <f aca="false">FALSE()</f>
        <v>0</v>
      </c>
    </row>
    <row r="43" customFormat="false" ht="15" hidden="false" customHeight="false" outlineLevel="0" collapsed="false">
      <c r="A43" s="6" t="n">
        <v>313942</v>
      </c>
      <c r="B43" s="6" t="s">
        <v>110</v>
      </c>
      <c r="C43" s="6" t="s">
        <v>111</v>
      </c>
      <c r="D43" s="6" t="s">
        <v>46</v>
      </c>
      <c r="E43" s="6" t="s">
        <v>35</v>
      </c>
      <c r="F43" s="6" t="n">
        <v>11.761734</v>
      </c>
      <c r="G43" s="6" t="n">
        <v>75.509068</v>
      </c>
      <c r="H43" s="6" t="n">
        <v>1</v>
      </c>
      <c r="I43" s="6" t="n">
        <v>30</v>
      </c>
      <c r="J43" s="6" t="s">
        <v>36</v>
      </c>
      <c r="K43" s="7" t="b">
        <f aca="false">FALSE()</f>
        <v>0</v>
      </c>
    </row>
    <row r="44" customFormat="false" ht="15" hidden="false" customHeight="false" outlineLevel="0" collapsed="false">
      <c r="A44" s="6" t="n">
        <v>313941</v>
      </c>
      <c r="B44" s="6" t="s">
        <v>112</v>
      </c>
      <c r="C44" s="6" t="s">
        <v>113</v>
      </c>
      <c r="D44" s="6" t="s">
        <v>46</v>
      </c>
      <c r="E44" s="6" t="s">
        <v>35</v>
      </c>
      <c r="F44" s="6" t="n">
        <v>11.86015</v>
      </c>
      <c r="G44" s="6" t="n">
        <v>75.414341</v>
      </c>
      <c r="H44" s="6" t="n">
        <v>1</v>
      </c>
      <c r="I44" s="6" t="n">
        <v>30</v>
      </c>
      <c r="J44" s="6" t="s">
        <v>36</v>
      </c>
      <c r="K44" s="7" t="b">
        <f aca="false">FALSE()</f>
        <v>0</v>
      </c>
    </row>
    <row r="45" customFormat="false" ht="15" hidden="false" customHeight="false" outlineLevel="0" collapsed="false">
      <c r="A45" s="6" t="n">
        <v>313940</v>
      </c>
      <c r="B45" s="6" t="s">
        <v>114</v>
      </c>
      <c r="C45" s="6" t="s">
        <v>115</v>
      </c>
      <c r="D45" s="6" t="s">
        <v>46</v>
      </c>
      <c r="E45" s="6" t="s">
        <v>35</v>
      </c>
      <c r="F45" s="6" t="n">
        <v>11.990686</v>
      </c>
      <c r="G45" s="6" t="n">
        <v>75.658022</v>
      </c>
      <c r="H45" s="6" t="n">
        <v>1</v>
      </c>
      <c r="I45" s="6" t="n">
        <v>30</v>
      </c>
      <c r="J45" s="6" t="s">
        <v>36</v>
      </c>
      <c r="K45" s="7" t="b">
        <f aca="false">FALSE()</f>
        <v>0</v>
      </c>
    </row>
    <row r="46" customFormat="false" ht="15" hidden="false" customHeight="false" outlineLevel="0" collapsed="false">
      <c r="A46" s="6" t="n">
        <v>313925</v>
      </c>
      <c r="B46" s="6" t="s">
        <v>116</v>
      </c>
      <c r="C46" s="6" t="s">
        <v>117</v>
      </c>
      <c r="D46" s="6" t="s">
        <v>46</v>
      </c>
      <c r="E46" s="6" t="s">
        <v>35</v>
      </c>
      <c r="F46" s="6" t="n">
        <v>11.832857</v>
      </c>
      <c r="G46" s="6" t="n">
        <v>75.426442</v>
      </c>
      <c r="H46" s="6" t="n">
        <v>2</v>
      </c>
      <c r="I46" s="6" t="n">
        <v>25</v>
      </c>
      <c r="J46" s="6" t="s">
        <v>36</v>
      </c>
      <c r="K46" s="7" t="b">
        <f aca="false">FALSE()</f>
        <v>0</v>
      </c>
    </row>
    <row r="47" customFormat="false" ht="15" hidden="false" customHeight="false" outlineLevel="0" collapsed="false">
      <c r="A47" s="6" t="n">
        <v>313924</v>
      </c>
      <c r="B47" s="6" t="s">
        <v>118</v>
      </c>
      <c r="C47" s="6" t="s">
        <v>119</v>
      </c>
      <c r="D47" s="6" t="s">
        <v>46</v>
      </c>
      <c r="E47" s="6" t="s">
        <v>35</v>
      </c>
      <c r="F47" s="6" t="n">
        <v>11.86083</v>
      </c>
      <c r="G47" s="6" t="n">
        <v>75.411868</v>
      </c>
      <c r="H47" s="6" t="n">
        <v>2</v>
      </c>
      <c r="I47" s="6" t="n">
        <v>30</v>
      </c>
      <c r="J47" s="6" t="s">
        <v>36</v>
      </c>
      <c r="K47" s="7" t="b">
        <f aca="false">FALSE()</f>
        <v>0</v>
      </c>
    </row>
    <row r="48" customFormat="false" ht="15" hidden="false" customHeight="false" outlineLevel="0" collapsed="false">
      <c r="A48" s="6" t="n">
        <v>313923</v>
      </c>
      <c r="B48" s="6" t="s">
        <v>120</v>
      </c>
      <c r="C48" s="6" t="s">
        <v>121</v>
      </c>
      <c r="D48" s="6" t="s">
        <v>46</v>
      </c>
      <c r="E48" s="6" t="s">
        <v>35</v>
      </c>
      <c r="F48" s="6" t="n">
        <v>12.120003</v>
      </c>
      <c r="G48" s="6" t="n">
        <v>75.217555</v>
      </c>
      <c r="H48" s="6" t="n">
        <v>1</v>
      </c>
      <c r="I48" s="6" t="n">
        <v>30</v>
      </c>
      <c r="J48" s="6" t="s">
        <v>36</v>
      </c>
      <c r="K48" s="7" t="b">
        <f aca="false">FALSE()</f>
        <v>0</v>
      </c>
    </row>
    <row r="49" customFormat="false" ht="15" hidden="false" customHeight="false" outlineLevel="0" collapsed="false">
      <c r="A49" s="6" t="n">
        <v>313922</v>
      </c>
      <c r="B49" s="6" t="s">
        <v>122</v>
      </c>
      <c r="C49" s="6" t="s">
        <v>123</v>
      </c>
      <c r="D49" s="6" t="s">
        <v>46</v>
      </c>
      <c r="E49" s="6" t="s">
        <v>35</v>
      </c>
      <c r="F49" s="6" t="n">
        <v>12.175048</v>
      </c>
      <c r="G49" s="6" t="n">
        <v>75.193433</v>
      </c>
      <c r="H49" s="6" t="n">
        <v>1</v>
      </c>
      <c r="I49" s="6" t="n">
        <v>30</v>
      </c>
      <c r="J49" s="6" t="s">
        <v>36</v>
      </c>
      <c r="K49" s="7" t="b">
        <f aca="false">FALSE()</f>
        <v>0</v>
      </c>
    </row>
    <row r="50" customFormat="false" ht="15" hidden="false" customHeight="false" outlineLevel="0" collapsed="false">
      <c r="A50" s="6" t="n">
        <v>313921</v>
      </c>
      <c r="B50" s="6" t="s">
        <v>124</v>
      </c>
      <c r="C50" s="6" t="s">
        <v>125</v>
      </c>
      <c r="D50" s="6" t="s">
        <v>46</v>
      </c>
      <c r="E50" s="6" t="s">
        <v>35</v>
      </c>
      <c r="F50" s="6" t="n">
        <v>12.423383</v>
      </c>
      <c r="G50" s="6" t="n">
        <v>75.014755</v>
      </c>
      <c r="H50" s="6" t="n">
        <v>2</v>
      </c>
      <c r="I50" s="6" t="n">
        <v>7.4</v>
      </c>
      <c r="J50" s="6" t="s">
        <v>126</v>
      </c>
      <c r="K50" s="7" t="b">
        <f aca="false">FALSE()</f>
        <v>0</v>
      </c>
    </row>
    <row r="51" customFormat="false" ht="15" hidden="false" customHeight="false" outlineLevel="0" collapsed="false">
      <c r="A51" s="6" t="n">
        <v>313920</v>
      </c>
      <c r="B51" s="6" t="s">
        <v>127</v>
      </c>
      <c r="C51" s="6" t="s">
        <v>128</v>
      </c>
      <c r="D51" s="6" t="s">
        <v>46</v>
      </c>
      <c r="E51" s="6" t="s">
        <v>35</v>
      </c>
      <c r="F51" s="6" t="n">
        <v>12.513454</v>
      </c>
      <c r="G51" s="6" t="n">
        <v>75.027123</v>
      </c>
      <c r="H51" s="6" t="n">
        <v>1</v>
      </c>
      <c r="I51" s="6" t="n">
        <v>30</v>
      </c>
      <c r="J51" s="6" t="s">
        <v>36</v>
      </c>
      <c r="K51" s="7" t="b">
        <f aca="false">FALSE()</f>
        <v>0</v>
      </c>
    </row>
    <row r="52" customFormat="false" ht="15" hidden="false" customHeight="false" outlineLevel="0" collapsed="false">
      <c r="A52" s="6" t="n">
        <v>313919</v>
      </c>
      <c r="B52" s="6" t="s">
        <v>129</v>
      </c>
      <c r="C52" s="6" t="s">
        <v>128</v>
      </c>
      <c r="D52" s="6" t="s">
        <v>46</v>
      </c>
      <c r="E52" s="6" t="s">
        <v>35</v>
      </c>
      <c r="F52" s="6" t="n">
        <v>12.509408</v>
      </c>
      <c r="G52" s="6" t="n">
        <v>74.986111</v>
      </c>
      <c r="H52" s="6" t="n">
        <v>1</v>
      </c>
      <c r="I52" s="6" t="n">
        <v>30</v>
      </c>
      <c r="J52" s="6" t="s">
        <v>36</v>
      </c>
      <c r="K52" s="7" t="b">
        <f aca="false">FALSE()</f>
        <v>0</v>
      </c>
    </row>
    <row r="53" customFormat="false" ht="15" hidden="false" customHeight="false" outlineLevel="0" collapsed="false">
      <c r="A53" s="6" t="n">
        <v>313918</v>
      </c>
      <c r="B53" s="6" t="s">
        <v>130</v>
      </c>
      <c r="C53" s="6" t="s">
        <v>131</v>
      </c>
      <c r="D53" s="6" t="s">
        <v>46</v>
      </c>
      <c r="E53" s="6" t="s">
        <v>35</v>
      </c>
      <c r="F53" s="6" t="n">
        <v>8.353209</v>
      </c>
      <c r="G53" s="6" t="n">
        <v>77.05379</v>
      </c>
      <c r="H53" s="6" t="n">
        <v>3</v>
      </c>
      <c r="I53" s="6" t="n">
        <v>60</v>
      </c>
      <c r="J53" s="6" t="s">
        <v>39</v>
      </c>
      <c r="K53" s="7" t="b">
        <f aca="false">TRUE()</f>
        <v>1</v>
      </c>
    </row>
    <row r="54" customFormat="false" ht="15" hidden="false" customHeight="false" outlineLevel="0" collapsed="false">
      <c r="A54" s="6" t="n">
        <v>313917</v>
      </c>
      <c r="B54" s="6" t="s">
        <v>132</v>
      </c>
      <c r="C54" s="6" t="s">
        <v>133</v>
      </c>
      <c r="D54" s="6" t="s">
        <v>46</v>
      </c>
      <c r="E54" s="6" t="s">
        <v>35</v>
      </c>
      <c r="F54" s="6" t="n">
        <v>8.394253</v>
      </c>
      <c r="G54" s="6" t="n">
        <v>77.088729</v>
      </c>
      <c r="H54" s="6" t="n">
        <v>4</v>
      </c>
      <c r="I54" s="6" t="n">
        <v>30</v>
      </c>
      <c r="J54" s="6" t="s">
        <v>36</v>
      </c>
      <c r="K54" s="7" t="b">
        <f aca="false">FALSE()</f>
        <v>0</v>
      </c>
    </row>
    <row r="55" customFormat="false" ht="15" hidden="false" customHeight="false" outlineLevel="0" collapsed="false">
      <c r="A55" s="6" t="n">
        <v>313916</v>
      </c>
      <c r="B55" s="6" t="s">
        <v>134</v>
      </c>
      <c r="C55" s="6" t="s">
        <v>131</v>
      </c>
      <c r="D55" s="6" t="s">
        <v>46</v>
      </c>
      <c r="E55" s="6" t="s">
        <v>35</v>
      </c>
      <c r="F55" s="6" t="n">
        <v>8.488661</v>
      </c>
      <c r="G55" s="6" t="n">
        <v>76.950752</v>
      </c>
      <c r="H55" s="6" t="n">
        <v>1</v>
      </c>
      <c r="I55" s="6" t="n">
        <v>30</v>
      </c>
      <c r="J55" s="6" t="s">
        <v>36</v>
      </c>
      <c r="K55" s="7" t="b">
        <f aca="false">FALSE()</f>
        <v>0</v>
      </c>
    </row>
    <row r="56" customFormat="false" ht="15" hidden="false" customHeight="false" outlineLevel="0" collapsed="false">
      <c r="A56" s="6" t="n">
        <v>313915</v>
      </c>
      <c r="B56" s="6" t="s">
        <v>135</v>
      </c>
      <c r="C56" s="6" t="s">
        <v>131</v>
      </c>
      <c r="D56" s="6" t="s">
        <v>46</v>
      </c>
      <c r="E56" s="6" t="s">
        <v>35</v>
      </c>
      <c r="F56" s="6" t="n">
        <v>8.515263</v>
      </c>
      <c r="G56" s="6" t="n">
        <v>76.898158</v>
      </c>
      <c r="H56" s="6" t="n">
        <v>11</v>
      </c>
      <c r="I56" s="6" t="n">
        <v>60</v>
      </c>
      <c r="J56" s="6" t="s">
        <v>39</v>
      </c>
      <c r="K56" s="7" t="b">
        <f aca="false">TRUE()</f>
        <v>1</v>
      </c>
    </row>
    <row r="57" customFormat="false" ht="15" hidden="false" customHeight="false" outlineLevel="0" collapsed="false">
      <c r="A57" s="6" t="n">
        <v>313914</v>
      </c>
      <c r="B57" s="6" t="s">
        <v>136</v>
      </c>
      <c r="C57" s="6" t="s">
        <v>131</v>
      </c>
      <c r="D57" s="6" t="s">
        <v>46</v>
      </c>
      <c r="E57" s="6" t="s">
        <v>35</v>
      </c>
      <c r="F57" s="6" t="n">
        <v>8.539993</v>
      </c>
      <c r="G57" s="6" t="n">
        <v>76.884425</v>
      </c>
      <c r="H57" s="6" t="n">
        <v>6</v>
      </c>
      <c r="I57" s="6" t="n">
        <v>7.4</v>
      </c>
      <c r="J57" s="6" t="s">
        <v>126</v>
      </c>
      <c r="K57" s="7" t="b">
        <f aca="false">FALSE()</f>
        <v>0</v>
      </c>
    </row>
    <row r="58" customFormat="false" ht="15" hidden="false" customHeight="false" outlineLevel="0" collapsed="false">
      <c r="A58" s="6" t="n">
        <v>313913</v>
      </c>
      <c r="B58" s="6" t="s">
        <v>137</v>
      </c>
      <c r="C58" s="6" t="s">
        <v>138</v>
      </c>
      <c r="D58" s="6" t="s">
        <v>46</v>
      </c>
      <c r="E58" s="6" t="s">
        <v>35</v>
      </c>
      <c r="F58" s="6" t="n">
        <v>8.728846</v>
      </c>
      <c r="G58" s="6" t="n">
        <v>76.898448</v>
      </c>
      <c r="H58" s="6" t="n">
        <v>2</v>
      </c>
      <c r="I58" s="6" t="n">
        <v>80</v>
      </c>
      <c r="J58" s="6" t="s">
        <v>39</v>
      </c>
      <c r="K58" s="7" t="b">
        <f aca="false">TRUE()</f>
        <v>1</v>
      </c>
    </row>
    <row r="59" customFormat="false" ht="15" hidden="false" customHeight="false" outlineLevel="0" collapsed="false">
      <c r="A59" s="6" t="n">
        <v>313912</v>
      </c>
      <c r="B59" s="6" t="s">
        <v>139</v>
      </c>
      <c r="C59" s="6" t="s">
        <v>138</v>
      </c>
      <c r="D59" s="6" t="s">
        <v>46</v>
      </c>
      <c r="E59" s="6" t="s">
        <v>35</v>
      </c>
      <c r="F59" s="6" t="n">
        <v>8.734523</v>
      </c>
      <c r="G59" s="6" t="n">
        <v>76.898016</v>
      </c>
      <c r="H59" s="6" t="n">
        <v>1</v>
      </c>
      <c r="I59" s="6" t="n">
        <v>30</v>
      </c>
      <c r="J59" s="6" t="s">
        <v>36</v>
      </c>
      <c r="K59" s="7" t="b">
        <f aca="false">FALSE()</f>
        <v>0</v>
      </c>
    </row>
    <row r="60" customFormat="false" ht="15" hidden="false" customHeight="false" outlineLevel="0" collapsed="false">
      <c r="A60" s="6" t="n">
        <v>313911</v>
      </c>
      <c r="B60" s="6" t="s">
        <v>140</v>
      </c>
      <c r="C60" s="6" t="s">
        <v>141</v>
      </c>
      <c r="D60" s="6" t="s">
        <v>46</v>
      </c>
      <c r="E60" s="6" t="s">
        <v>35</v>
      </c>
      <c r="F60" s="6" t="n">
        <v>8.686808</v>
      </c>
      <c r="G60" s="6" t="n">
        <v>76.824022</v>
      </c>
      <c r="H60" s="6" t="n">
        <v>2</v>
      </c>
      <c r="I60" s="6" t="n">
        <v>30</v>
      </c>
      <c r="J60" s="6" t="s">
        <v>36</v>
      </c>
      <c r="K60" s="7" t="b">
        <f aca="false">FALSE()</f>
        <v>0</v>
      </c>
    </row>
    <row r="61" customFormat="false" ht="15" hidden="false" customHeight="false" outlineLevel="0" collapsed="false">
      <c r="A61" s="6" t="n">
        <v>313910</v>
      </c>
      <c r="B61" s="6" t="s">
        <v>142</v>
      </c>
      <c r="C61" s="6" t="s">
        <v>141</v>
      </c>
      <c r="D61" s="6" t="s">
        <v>46</v>
      </c>
      <c r="E61" s="6" t="s">
        <v>35</v>
      </c>
      <c r="F61" s="6" t="n">
        <v>8.733068</v>
      </c>
      <c r="G61" s="6" t="n">
        <v>76.810647</v>
      </c>
      <c r="H61" s="6" t="n">
        <v>1</v>
      </c>
      <c r="I61" s="6" t="n">
        <v>30</v>
      </c>
      <c r="J61" s="6" t="s">
        <v>36</v>
      </c>
      <c r="K61" s="7" t="b">
        <f aca="false">FALSE()</f>
        <v>0</v>
      </c>
    </row>
    <row r="62" customFormat="false" ht="15" hidden="false" customHeight="false" outlineLevel="0" collapsed="false">
      <c r="A62" s="6" t="n">
        <v>313909</v>
      </c>
      <c r="B62" s="6" t="s">
        <v>143</v>
      </c>
      <c r="C62" s="6" t="s">
        <v>144</v>
      </c>
      <c r="D62" s="6" t="s">
        <v>46</v>
      </c>
      <c r="E62" s="6" t="s">
        <v>35</v>
      </c>
      <c r="F62" s="6" t="n">
        <v>8.863427</v>
      </c>
      <c r="G62" s="6" t="n">
        <v>76.871208</v>
      </c>
      <c r="H62" s="6" t="n">
        <v>3</v>
      </c>
      <c r="I62" s="6" t="n">
        <v>60</v>
      </c>
      <c r="J62" s="6" t="s">
        <v>39</v>
      </c>
      <c r="K62" s="7" t="b">
        <f aca="false">TRUE()</f>
        <v>1</v>
      </c>
    </row>
    <row r="63" customFormat="false" ht="15" hidden="false" customHeight="false" outlineLevel="0" collapsed="false">
      <c r="A63" s="6" t="n">
        <v>313908</v>
      </c>
      <c r="B63" s="6" t="s">
        <v>145</v>
      </c>
      <c r="C63" s="6" t="s">
        <v>146</v>
      </c>
      <c r="D63" s="6" t="s">
        <v>46</v>
      </c>
      <c r="E63" s="6" t="s">
        <v>35</v>
      </c>
      <c r="F63" s="6" t="n">
        <v>8.749086</v>
      </c>
      <c r="G63" s="6" t="n">
        <v>76.705819</v>
      </c>
      <c r="H63" s="6" t="n">
        <v>2</v>
      </c>
      <c r="I63" s="6" t="n">
        <v>25</v>
      </c>
      <c r="J63" s="6" t="s">
        <v>36</v>
      </c>
      <c r="K63" s="7" t="b">
        <f aca="false">FALSE()</f>
        <v>0</v>
      </c>
    </row>
    <row r="64" customFormat="false" ht="15" hidden="false" customHeight="false" outlineLevel="0" collapsed="false">
      <c r="A64" s="6" t="n">
        <v>313907</v>
      </c>
      <c r="B64" s="6" t="s">
        <v>147</v>
      </c>
      <c r="C64" s="6" t="s">
        <v>148</v>
      </c>
      <c r="D64" s="6" t="s">
        <v>46</v>
      </c>
      <c r="E64" s="6" t="s">
        <v>35</v>
      </c>
      <c r="F64" s="6" t="n">
        <v>8.982143</v>
      </c>
      <c r="G64" s="6" t="n">
        <v>76.80933</v>
      </c>
      <c r="H64" s="6" t="n">
        <v>2</v>
      </c>
      <c r="I64" s="6" t="n">
        <v>30</v>
      </c>
      <c r="J64" s="6" t="s">
        <v>36</v>
      </c>
      <c r="K64" s="7" t="b">
        <f aca="false">FALSE()</f>
        <v>0</v>
      </c>
    </row>
    <row r="65" customFormat="false" ht="15" hidden="false" customHeight="false" outlineLevel="0" collapsed="false">
      <c r="A65" s="6" t="n">
        <v>313906</v>
      </c>
      <c r="B65" s="6" t="s">
        <v>149</v>
      </c>
      <c r="C65" s="6" t="s">
        <v>150</v>
      </c>
      <c r="D65" s="6" t="s">
        <v>46</v>
      </c>
      <c r="E65" s="6" t="s">
        <v>35</v>
      </c>
      <c r="F65" s="6" t="n">
        <v>8.948247</v>
      </c>
      <c r="G65" s="6" t="n">
        <v>76.646247</v>
      </c>
      <c r="H65" s="6" t="n">
        <v>2</v>
      </c>
      <c r="I65" s="6" t="n">
        <v>30</v>
      </c>
      <c r="J65" s="6" t="s">
        <v>36</v>
      </c>
      <c r="K65" s="7" t="b">
        <f aca="false">FALSE()</f>
        <v>0</v>
      </c>
    </row>
    <row r="66" customFormat="false" ht="15" hidden="false" customHeight="false" outlineLevel="0" collapsed="false">
      <c r="A66" s="6" t="n">
        <v>313905</v>
      </c>
      <c r="B66" s="6" t="s">
        <v>151</v>
      </c>
      <c r="C66" s="6" t="s">
        <v>152</v>
      </c>
      <c r="D66" s="6" t="s">
        <v>46</v>
      </c>
      <c r="E66" s="6" t="s">
        <v>35</v>
      </c>
      <c r="F66" s="6" t="n">
        <v>9.070992</v>
      </c>
      <c r="G66" s="6" t="n">
        <v>76.856311</v>
      </c>
      <c r="H66" s="6" t="n">
        <v>2</v>
      </c>
      <c r="I66" s="6" t="n">
        <v>25</v>
      </c>
      <c r="J66" s="6" t="s">
        <v>36</v>
      </c>
      <c r="K66" s="7" t="b">
        <f aca="false">FALSE()</f>
        <v>0</v>
      </c>
    </row>
    <row r="67" customFormat="false" ht="15" hidden="false" customHeight="false" outlineLevel="0" collapsed="false">
      <c r="A67" s="6" t="n">
        <v>313904</v>
      </c>
      <c r="B67" s="6" t="s">
        <v>153</v>
      </c>
      <c r="C67" s="6" t="s">
        <v>154</v>
      </c>
      <c r="D67" s="6" t="s">
        <v>46</v>
      </c>
      <c r="E67" s="6" t="s">
        <v>35</v>
      </c>
      <c r="F67" s="6" t="n">
        <v>9.051367</v>
      </c>
      <c r="G67" s="6" t="n">
        <v>76.703247</v>
      </c>
      <c r="H67" s="6" t="n">
        <v>2</v>
      </c>
      <c r="I67" s="6" t="n">
        <v>30</v>
      </c>
      <c r="J67" s="6" t="s">
        <v>36</v>
      </c>
      <c r="K67" s="7" t="b">
        <f aca="false">FALSE()</f>
        <v>0</v>
      </c>
    </row>
    <row r="68" customFormat="false" ht="15" hidden="false" customHeight="false" outlineLevel="0" collapsed="false">
      <c r="A68" s="6" t="n">
        <v>313903</v>
      </c>
      <c r="B68" s="6" t="s">
        <v>155</v>
      </c>
      <c r="C68" s="6" t="s">
        <v>156</v>
      </c>
      <c r="D68" s="6" t="s">
        <v>46</v>
      </c>
      <c r="E68" s="6" t="s">
        <v>35</v>
      </c>
      <c r="F68" s="6" t="n">
        <v>9.045128</v>
      </c>
      <c r="G68" s="6" t="n">
        <v>76.7736</v>
      </c>
      <c r="H68" s="6" t="n">
        <v>4</v>
      </c>
      <c r="I68" s="6" t="n">
        <v>60</v>
      </c>
      <c r="J68" s="6" t="s">
        <v>39</v>
      </c>
      <c r="K68" s="7" t="b">
        <f aca="false">TRUE()</f>
        <v>1</v>
      </c>
    </row>
    <row r="69" customFormat="false" ht="15" hidden="false" customHeight="false" outlineLevel="0" collapsed="false">
      <c r="A69" s="6" t="n">
        <v>313902</v>
      </c>
      <c r="B69" s="6" t="s">
        <v>157</v>
      </c>
      <c r="C69" s="6" t="s">
        <v>158</v>
      </c>
      <c r="D69" s="6" t="s">
        <v>46</v>
      </c>
      <c r="E69" s="6" t="s">
        <v>35</v>
      </c>
      <c r="F69" s="6" t="n">
        <v>9.116847</v>
      </c>
      <c r="G69" s="6" t="n">
        <v>76.745112</v>
      </c>
      <c r="H69" s="6" t="n">
        <v>3</v>
      </c>
      <c r="I69" s="6" t="n">
        <v>60</v>
      </c>
      <c r="J69" s="6" t="s">
        <v>39</v>
      </c>
      <c r="K69" s="7" t="b">
        <f aca="false">TRUE()</f>
        <v>1</v>
      </c>
    </row>
    <row r="70" customFormat="false" ht="15" hidden="false" customHeight="false" outlineLevel="0" collapsed="false">
      <c r="A70" s="6" t="n">
        <v>313901</v>
      </c>
      <c r="B70" s="6" t="s">
        <v>159</v>
      </c>
      <c r="C70" s="6" t="s">
        <v>158</v>
      </c>
      <c r="D70" s="6" t="s">
        <v>46</v>
      </c>
      <c r="E70" s="6" t="s">
        <v>35</v>
      </c>
      <c r="F70" s="6" t="n">
        <v>9.145306</v>
      </c>
      <c r="G70" s="6" t="n">
        <v>76.765858</v>
      </c>
      <c r="H70" s="6" t="n">
        <v>1</v>
      </c>
      <c r="I70" s="6" t="n">
        <v>30</v>
      </c>
      <c r="J70" s="6" t="s">
        <v>36</v>
      </c>
      <c r="K70" s="7" t="b">
        <f aca="false">FALSE()</f>
        <v>0</v>
      </c>
    </row>
    <row r="71" customFormat="false" ht="15" hidden="false" customHeight="false" outlineLevel="0" collapsed="false">
      <c r="A71" s="6" t="n">
        <v>313900</v>
      </c>
      <c r="B71" s="6" t="s">
        <v>160</v>
      </c>
      <c r="C71" s="6" t="s">
        <v>158</v>
      </c>
      <c r="D71" s="6" t="s">
        <v>46</v>
      </c>
      <c r="E71" s="6" t="s">
        <v>35</v>
      </c>
      <c r="F71" s="6" t="n">
        <v>9.153564</v>
      </c>
      <c r="G71" s="6" t="n">
        <v>76.735544</v>
      </c>
      <c r="H71" s="6" t="n">
        <v>3</v>
      </c>
      <c r="I71" s="6" t="n">
        <v>60</v>
      </c>
      <c r="J71" s="6" t="s">
        <v>39</v>
      </c>
      <c r="K71" s="7" t="b">
        <f aca="false">TRUE()</f>
        <v>1</v>
      </c>
    </row>
    <row r="72" customFormat="false" ht="15" hidden="false" customHeight="false" outlineLevel="0" collapsed="false">
      <c r="A72" s="6" t="n">
        <v>313899</v>
      </c>
      <c r="B72" s="6" t="s">
        <v>161</v>
      </c>
      <c r="C72" s="6" t="s">
        <v>162</v>
      </c>
      <c r="D72" s="6" t="s">
        <v>46</v>
      </c>
      <c r="E72" s="6" t="s">
        <v>35</v>
      </c>
      <c r="F72" s="6" t="n">
        <v>9.145795</v>
      </c>
      <c r="G72" s="6" t="n">
        <v>76.459363</v>
      </c>
      <c r="H72" s="6" t="n">
        <v>2</v>
      </c>
      <c r="I72" s="6" t="n">
        <v>25</v>
      </c>
      <c r="J72" s="6" t="s">
        <v>36</v>
      </c>
      <c r="K72" s="7" t="b">
        <f aca="false">FALSE()</f>
        <v>0</v>
      </c>
    </row>
    <row r="73" customFormat="false" ht="15" hidden="false" customHeight="false" outlineLevel="0" collapsed="false">
      <c r="A73" s="6" t="n">
        <v>313898</v>
      </c>
      <c r="B73" s="6" t="s">
        <v>163</v>
      </c>
      <c r="C73" s="6" t="s">
        <v>164</v>
      </c>
      <c r="D73" s="6" t="s">
        <v>46</v>
      </c>
      <c r="E73" s="6" t="s">
        <v>35</v>
      </c>
      <c r="F73" s="6" t="n">
        <v>9.132307</v>
      </c>
      <c r="G73" s="6" t="n">
        <v>76.513858</v>
      </c>
      <c r="H73" s="6" t="n">
        <v>1</v>
      </c>
      <c r="I73" s="6" t="n">
        <v>25</v>
      </c>
      <c r="J73" s="6" t="s">
        <v>36</v>
      </c>
      <c r="K73" s="7" t="b">
        <f aca="false">FALSE()</f>
        <v>0</v>
      </c>
    </row>
    <row r="74" customFormat="false" ht="15" hidden="false" customHeight="false" outlineLevel="0" collapsed="false">
      <c r="A74" s="6" t="n">
        <v>313897</v>
      </c>
      <c r="B74" s="6" t="s">
        <v>165</v>
      </c>
      <c r="C74" s="6" t="s">
        <v>162</v>
      </c>
      <c r="D74" s="6" t="s">
        <v>46</v>
      </c>
      <c r="E74" s="6" t="s">
        <v>35</v>
      </c>
      <c r="F74" s="6" t="n">
        <v>9.18474</v>
      </c>
      <c r="G74" s="6" t="n">
        <v>76.490297</v>
      </c>
      <c r="H74" s="6" t="n">
        <v>4</v>
      </c>
      <c r="I74" s="6" t="n">
        <v>60</v>
      </c>
      <c r="J74" s="6" t="s">
        <v>39</v>
      </c>
      <c r="K74" s="7" t="b">
        <f aca="false">TRUE()</f>
        <v>1</v>
      </c>
    </row>
    <row r="75" customFormat="false" ht="15" hidden="false" customHeight="false" outlineLevel="0" collapsed="false">
      <c r="A75" s="6" t="n">
        <v>313896</v>
      </c>
      <c r="B75" s="6" t="s">
        <v>166</v>
      </c>
      <c r="C75" s="6" t="s">
        <v>167</v>
      </c>
      <c r="D75" s="6" t="s">
        <v>46</v>
      </c>
      <c r="E75" s="6" t="s">
        <v>35</v>
      </c>
      <c r="F75" s="6" t="n">
        <v>9.289001</v>
      </c>
      <c r="G75" s="6" t="n">
        <v>76.456536</v>
      </c>
      <c r="H75" s="6" t="n">
        <v>2</v>
      </c>
      <c r="I75" s="6" t="n">
        <v>25</v>
      </c>
      <c r="J75" s="6" t="s">
        <v>36</v>
      </c>
      <c r="K75" s="7" t="b">
        <f aca="false">FALSE()</f>
        <v>0</v>
      </c>
    </row>
    <row r="76" customFormat="false" ht="15" hidden="false" customHeight="false" outlineLevel="0" collapsed="false">
      <c r="A76" s="6" t="n">
        <v>313895</v>
      </c>
      <c r="B76" s="6" t="s">
        <v>168</v>
      </c>
      <c r="C76" s="6" t="s">
        <v>169</v>
      </c>
      <c r="D76" s="6" t="s">
        <v>46</v>
      </c>
      <c r="E76" s="6" t="s">
        <v>35</v>
      </c>
      <c r="F76" s="6" t="n">
        <v>9.246935</v>
      </c>
      <c r="G76" s="6" t="n">
        <v>76.757308</v>
      </c>
      <c r="H76" s="6" t="n">
        <v>2</v>
      </c>
      <c r="I76" s="6" t="n">
        <v>30</v>
      </c>
      <c r="J76" s="6" t="s">
        <v>36</v>
      </c>
      <c r="K76" s="7" t="b">
        <f aca="false">FALSE()</f>
        <v>0</v>
      </c>
    </row>
    <row r="77" customFormat="false" ht="15" hidden="false" customHeight="false" outlineLevel="0" collapsed="false">
      <c r="A77" s="6" t="n">
        <v>313894</v>
      </c>
      <c r="B77" s="6" t="s">
        <v>170</v>
      </c>
      <c r="C77" s="6" t="s">
        <v>171</v>
      </c>
      <c r="D77" s="6" t="s">
        <v>46</v>
      </c>
      <c r="E77" s="6" t="s">
        <v>35</v>
      </c>
      <c r="F77" s="6" t="n">
        <v>9.263777</v>
      </c>
      <c r="G77" s="6" t="n">
        <v>76.785435</v>
      </c>
      <c r="H77" s="6" t="n">
        <v>1</v>
      </c>
      <c r="I77" s="6" t="n">
        <v>30</v>
      </c>
      <c r="J77" s="6" t="s">
        <v>36</v>
      </c>
      <c r="K77" s="7" t="b">
        <f aca="false">FALSE()</f>
        <v>0</v>
      </c>
    </row>
    <row r="78" customFormat="false" ht="15" hidden="false" customHeight="false" outlineLevel="0" collapsed="false">
      <c r="A78" s="6" t="n">
        <v>313893</v>
      </c>
      <c r="B78" s="6" t="s">
        <v>172</v>
      </c>
      <c r="C78" s="6" t="s">
        <v>173</v>
      </c>
      <c r="D78" s="6" t="s">
        <v>46</v>
      </c>
      <c r="E78" s="6" t="s">
        <v>35</v>
      </c>
      <c r="F78" s="6" t="n">
        <v>9.311533</v>
      </c>
      <c r="G78" s="6" t="n">
        <v>76.622721</v>
      </c>
      <c r="H78" s="6" t="n">
        <v>4</v>
      </c>
      <c r="I78" s="6" t="n">
        <v>60</v>
      </c>
      <c r="J78" s="6" t="s">
        <v>39</v>
      </c>
      <c r="K78" s="7" t="b">
        <f aca="false">TRUE()</f>
        <v>1</v>
      </c>
    </row>
    <row r="79" customFormat="false" ht="15" hidden="false" customHeight="false" outlineLevel="0" collapsed="false">
      <c r="A79" s="6" t="n">
        <v>313892</v>
      </c>
      <c r="B79" s="6" t="s">
        <v>174</v>
      </c>
      <c r="C79" s="6" t="s">
        <v>173</v>
      </c>
      <c r="D79" s="6" t="s">
        <v>46</v>
      </c>
      <c r="E79" s="6" t="s">
        <v>35</v>
      </c>
      <c r="F79" s="6" t="n">
        <v>9.342145</v>
      </c>
      <c r="G79" s="6" t="n">
        <v>76.598488</v>
      </c>
      <c r="H79" s="6" t="n">
        <v>2</v>
      </c>
      <c r="I79" s="6" t="n">
        <v>30</v>
      </c>
      <c r="J79" s="6" t="s">
        <v>36</v>
      </c>
      <c r="K79" s="7" t="b">
        <f aca="false">FALSE()</f>
        <v>0</v>
      </c>
    </row>
    <row r="80" customFormat="false" ht="15" hidden="false" customHeight="false" outlineLevel="0" collapsed="false">
      <c r="A80" s="6" t="n">
        <v>313891</v>
      </c>
      <c r="B80" s="6" t="s">
        <v>175</v>
      </c>
      <c r="C80" s="6" t="s">
        <v>176</v>
      </c>
      <c r="D80" s="6" t="s">
        <v>46</v>
      </c>
      <c r="E80" s="6" t="s">
        <v>35</v>
      </c>
      <c r="F80" s="6" t="n">
        <v>9.45986</v>
      </c>
      <c r="G80" s="6" t="n">
        <v>76.555184</v>
      </c>
      <c r="H80" s="6" t="n">
        <v>2</v>
      </c>
      <c r="I80" s="6" t="n">
        <v>25</v>
      </c>
      <c r="J80" s="6" t="s">
        <v>36</v>
      </c>
      <c r="K80" s="7" t="b">
        <f aca="false">FALSE()</f>
        <v>0</v>
      </c>
    </row>
    <row r="81" customFormat="false" ht="15" hidden="false" customHeight="false" outlineLevel="0" collapsed="false">
      <c r="A81" s="6" t="n">
        <v>313890</v>
      </c>
      <c r="B81" s="6" t="s">
        <v>177</v>
      </c>
      <c r="C81" s="6" t="s">
        <v>178</v>
      </c>
      <c r="D81" s="6" t="s">
        <v>46</v>
      </c>
      <c r="E81" s="6" t="s">
        <v>35</v>
      </c>
      <c r="F81" s="6" t="n">
        <v>9.806942</v>
      </c>
      <c r="G81" s="6" t="n">
        <v>77.04794</v>
      </c>
      <c r="H81" s="6" t="n">
        <v>1</v>
      </c>
      <c r="I81" s="6" t="n">
        <v>30</v>
      </c>
      <c r="J81" s="6" t="s">
        <v>36</v>
      </c>
      <c r="K81" s="7" t="b">
        <f aca="false">FALSE()</f>
        <v>0</v>
      </c>
    </row>
    <row r="82" customFormat="false" ht="15" hidden="false" customHeight="false" outlineLevel="0" collapsed="false">
      <c r="A82" s="6" t="n">
        <v>313889</v>
      </c>
      <c r="B82" s="6" t="s">
        <v>179</v>
      </c>
      <c r="C82" s="6" t="s">
        <v>180</v>
      </c>
      <c r="D82" s="6" t="s">
        <v>46</v>
      </c>
      <c r="E82" s="6" t="s">
        <v>35</v>
      </c>
      <c r="F82" s="6" t="n">
        <v>9.747617</v>
      </c>
      <c r="G82" s="6" t="n">
        <v>77.105418</v>
      </c>
      <c r="H82" s="6" t="n">
        <v>1</v>
      </c>
      <c r="I82" s="6" t="n">
        <v>25</v>
      </c>
      <c r="J82" s="6" t="s">
        <v>36</v>
      </c>
      <c r="K82" s="7" t="b">
        <f aca="false">FALSE()</f>
        <v>0</v>
      </c>
    </row>
    <row r="83" customFormat="false" ht="15" hidden="false" customHeight="false" outlineLevel="0" collapsed="false">
      <c r="A83" s="6" t="n">
        <v>313888</v>
      </c>
      <c r="B83" s="6" t="s">
        <v>181</v>
      </c>
      <c r="C83" s="6" t="s">
        <v>182</v>
      </c>
      <c r="D83" s="6" t="s">
        <v>46</v>
      </c>
      <c r="E83" s="6" t="s">
        <v>35</v>
      </c>
      <c r="F83" s="6" t="n">
        <v>9.665399</v>
      </c>
      <c r="G83" s="6" t="n">
        <v>77.160847</v>
      </c>
      <c r="H83" s="6" t="n">
        <v>2</v>
      </c>
      <c r="I83" s="6" t="n">
        <v>30</v>
      </c>
      <c r="J83" s="6" t="s">
        <v>36</v>
      </c>
      <c r="K83" s="7" t="b">
        <f aca="false">FALSE()</f>
        <v>0</v>
      </c>
    </row>
    <row r="84" customFormat="false" ht="15" hidden="false" customHeight="false" outlineLevel="0" collapsed="false">
      <c r="A84" s="6" t="n">
        <v>313887</v>
      </c>
      <c r="B84" s="6" t="s">
        <v>183</v>
      </c>
      <c r="C84" s="6" t="s">
        <v>184</v>
      </c>
      <c r="D84" s="6" t="s">
        <v>46</v>
      </c>
      <c r="E84" s="6" t="s">
        <v>35</v>
      </c>
      <c r="F84" s="6" t="n">
        <v>9.614446</v>
      </c>
      <c r="G84" s="6" t="n">
        <v>77.15391</v>
      </c>
      <c r="H84" s="6" t="n">
        <v>2</v>
      </c>
      <c r="I84" s="6" t="n">
        <v>30</v>
      </c>
      <c r="J84" s="6" t="s">
        <v>36</v>
      </c>
      <c r="K84" s="7" t="b">
        <f aca="false">FALSE()</f>
        <v>0</v>
      </c>
    </row>
    <row r="85" customFormat="false" ht="15" hidden="false" customHeight="false" outlineLevel="0" collapsed="false">
      <c r="A85" s="6" t="n">
        <v>313886</v>
      </c>
      <c r="B85" s="6" t="s">
        <v>185</v>
      </c>
      <c r="C85" s="6" t="s">
        <v>186</v>
      </c>
      <c r="D85" s="6" t="s">
        <v>46</v>
      </c>
      <c r="E85" s="6" t="s">
        <v>35</v>
      </c>
      <c r="F85" s="6" t="n">
        <v>9.580204</v>
      </c>
      <c r="G85" s="6" t="n">
        <v>76.970612</v>
      </c>
      <c r="H85" s="6" t="n">
        <v>3</v>
      </c>
      <c r="I85" s="6" t="n">
        <v>60</v>
      </c>
      <c r="J85" s="6" t="s">
        <v>39</v>
      </c>
      <c r="K85" s="7" t="b">
        <f aca="false">TRUE()</f>
        <v>1</v>
      </c>
    </row>
    <row r="86" customFormat="false" ht="15" hidden="false" customHeight="false" outlineLevel="0" collapsed="false">
      <c r="A86" s="6" t="n">
        <v>313885</v>
      </c>
      <c r="B86" s="6" t="s">
        <v>187</v>
      </c>
      <c r="C86" s="6" t="s">
        <v>188</v>
      </c>
      <c r="D86" s="6" t="s">
        <v>46</v>
      </c>
      <c r="E86" s="6" t="s">
        <v>35</v>
      </c>
      <c r="F86" s="6" t="n">
        <v>9.567075</v>
      </c>
      <c r="G86" s="6" t="n">
        <v>76.706094</v>
      </c>
      <c r="H86" s="6" t="n">
        <v>1</v>
      </c>
      <c r="I86" s="6" t="n">
        <v>30</v>
      </c>
      <c r="J86" s="6" t="s">
        <v>36</v>
      </c>
      <c r="K86" s="7" t="b">
        <f aca="false">FALSE()</f>
        <v>0</v>
      </c>
    </row>
    <row r="87" customFormat="false" ht="15" hidden="false" customHeight="false" outlineLevel="0" collapsed="false">
      <c r="A87" s="6" t="n">
        <v>313884</v>
      </c>
      <c r="B87" s="6" t="s">
        <v>189</v>
      </c>
      <c r="C87" s="6" t="s">
        <v>190</v>
      </c>
      <c r="D87" s="6" t="s">
        <v>46</v>
      </c>
      <c r="E87" s="6" t="s">
        <v>35</v>
      </c>
      <c r="F87" s="6" t="n">
        <v>9.566379</v>
      </c>
      <c r="G87" s="6" t="n">
        <v>76.741608</v>
      </c>
      <c r="H87" s="6" t="n">
        <v>2</v>
      </c>
      <c r="I87" s="6" t="n">
        <v>25</v>
      </c>
      <c r="J87" s="6" t="s">
        <v>36</v>
      </c>
      <c r="K87" s="7" t="b">
        <f aca="false">FALSE()</f>
        <v>0</v>
      </c>
    </row>
    <row r="88" customFormat="false" ht="15" hidden="false" customHeight="false" outlineLevel="0" collapsed="false">
      <c r="A88" s="6" t="n">
        <v>313883</v>
      </c>
      <c r="B88" s="6" t="s">
        <v>191</v>
      </c>
      <c r="C88" s="6" t="s">
        <v>192</v>
      </c>
      <c r="D88" s="6" t="s">
        <v>46</v>
      </c>
      <c r="E88" s="6" t="s">
        <v>35</v>
      </c>
      <c r="F88" s="6" t="n">
        <v>9.754</v>
      </c>
      <c r="G88" s="6" t="n">
        <v>76.701279</v>
      </c>
      <c r="H88" s="6" t="n">
        <v>1</v>
      </c>
      <c r="I88" s="6" t="n">
        <v>30</v>
      </c>
      <c r="J88" s="6" t="s">
        <v>36</v>
      </c>
      <c r="K88" s="7" t="b">
        <f aca="false">FALSE()</f>
        <v>0</v>
      </c>
    </row>
    <row r="89" customFormat="false" ht="15" hidden="false" customHeight="false" outlineLevel="0" collapsed="false">
      <c r="A89" s="6" t="n">
        <v>313882</v>
      </c>
      <c r="B89" s="6" t="s">
        <v>193</v>
      </c>
      <c r="C89" s="6" t="s">
        <v>194</v>
      </c>
      <c r="D89" s="6" t="s">
        <v>46</v>
      </c>
      <c r="E89" s="6" t="s">
        <v>35</v>
      </c>
      <c r="F89" s="6" t="n">
        <v>9.683248</v>
      </c>
      <c r="G89" s="6" t="n">
        <v>76.609754</v>
      </c>
      <c r="H89" s="6" t="n">
        <v>1</v>
      </c>
      <c r="I89" s="6" t="n">
        <v>30</v>
      </c>
      <c r="J89" s="6" t="s">
        <v>36</v>
      </c>
      <c r="K89" s="7" t="b">
        <f aca="false">FALSE()</f>
        <v>0</v>
      </c>
    </row>
    <row r="90" customFormat="false" ht="15" hidden="false" customHeight="false" outlineLevel="0" collapsed="false">
      <c r="A90" s="6" t="n">
        <v>313881</v>
      </c>
      <c r="B90" s="6" t="s">
        <v>195</v>
      </c>
      <c r="C90" s="6" t="s">
        <v>196</v>
      </c>
      <c r="D90" s="6" t="s">
        <v>46</v>
      </c>
      <c r="E90" s="6" t="s">
        <v>35</v>
      </c>
      <c r="F90" s="6" t="n">
        <v>9.668172</v>
      </c>
      <c r="G90" s="6" t="n">
        <v>76.575379</v>
      </c>
      <c r="H90" s="6" t="n">
        <v>3</v>
      </c>
      <c r="I90" s="6" t="n">
        <v>60</v>
      </c>
      <c r="J90" s="6" t="s">
        <v>39</v>
      </c>
      <c r="K90" s="7" t="b">
        <f aca="false">TRUE()</f>
        <v>1</v>
      </c>
    </row>
    <row r="91" customFormat="false" ht="15" hidden="false" customHeight="false" outlineLevel="0" collapsed="false">
      <c r="A91" s="6" t="n">
        <v>313880</v>
      </c>
      <c r="B91" s="6" t="s">
        <v>197</v>
      </c>
      <c r="C91" s="6" t="s">
        <v>198</v>
      </c>
      <c r="D91" s="6" t="s">
        <v>46</v>
      </c>
      <c r="E91" s="6" t="s">
        <v>35</v>
      </c>
      <c r="F91" s="6" t="n">
        <v>9.761924</v>
      </c>
      <c r="G91" s="6" t="n">
        <v>76.564723</v>
      </c>
      <c r="H91" s="6" t="n">
        <v>2</v>
      </c>
      <c r="I91" s="6" t="n">
        <v>25</v>
      </c>
      <c r="J91" s="6" t="s">
        <v>36</v>
      </c>
      <c r="K91" s="7" t="b">
        <f aca="false">FALSE()</f>
        <v>0</v>
      </c>
    </row>
    <row r="92" customFormat="false" ht="15" hidden="false" customHeight="false" outlineLevel="0" collapsed="false">
      <c r="A92" s="6" t="n">
        <v>313879</v>
      </c>
      <c r="B92" s="6" t="s">
        <v>199</v>
      </c>
      <c r="C92" s="6" t="s">
        <v>200</v>
      </c>
      <c r="D92" s="6" t="s">
        <v>46</v>
      </c>
      <c r="E92" s="6" t="s">
        <v>35</v>
      </c>
      <c r="F92" s="6" t="n">
        <v>9.727579</v>
      </c>
      <c r="G92" s="6" t="n">
        <v>76.520388</v>
      </c>
      <c r="H92" s="6" t="n">
        <v>1</v>
      </c>
      <c r="I92" s="6" t="n">
        <v>30</v>
      </c>
      <c r="J92" s="6" t="s">
        <v>36</v>
      </c>
      <c r="K92" s="7" t="b">
        <f aca="false">FALSE()</f>
        <v>0</v>
      </c>
    </row>
    <row r="93" customFormat="false" ht="15" hidden="false" customHeight="false" outlineLevel="0" collapsed="false">
      <c r="A93" s="6" t="n">
        <v>313878</v>
      </c>
      <c r="B93" s="6" t="s">
        <v>201</v>
      </c>
      <c r="C93" s="6" t="s">
        <v>202</v>
      </c>
      <c r="D93" s="6" t="s">
        <v>46</v>
      </c>
      <c r="E93" s="6" t="s">
        <v>35</v>
      </c>
      <c r="F93" s="6" t="n">
        <v>9.683337</v>
      </c>
      <c r="G93" s="6" t="n">
        <v>76.505594</v>
      </c>
      <c r="H93" s="6" t="n">
        <v>2</v>
      </c>
      <c r="I93" s="6" t="n">
        <v>30</v>
      </c>
      <c r="J93" s="6" t="s">
        <v>36</v>
      </c>
      <c r="K93" s="7" t="b">
        <f aca="false">FALSE()</f>
        <v>0</v>
      </c>
    </row>
    <row r="94" customFormat="false" ht="15" hidden="false" customHeight="false" outlineLevel="0" collapsed="false">
      <c r="A94" s="6" t="n">
        <v>313877</v>
      </c>
      <c r="B94" s="6" t="s">
        <v>203</v>
      </c>
      <c r="C94" s="6" t="s">
        <v>204</v>
      </c>
      <c r="D94" s="6" t="s">
        <v>46</v>
      </c>
      <c r="E94" s="6" t="s">
        <v>35</v>
      </c>
      <c r="F94" s="6" t="n">
        <v>9.589399</v>
      </c>
      <c r="G94" s="6" t="n">
        <v>76.526331</v>
      </c>
      <c r="H94" s="6" t="n">
        <v>1</v>
      </c>
      <c r="I94" s="6" t="n">
        <v>30</v>
      </c>
      <c r="J94" s="6" t="s">
        <v>36</v>
      </c>
      <c r="K94" s="7" t="b">
        <f aca="false">FALSE()</f>
        <v>0</v>
      </c>
    </row>
    <row r="95" customFormat="false" ht="15" hidden="false" customHeight="false" outlineLevel="0" collapsed="false">
      <c r="A95" s="6" t="n">
        <v>313876</v>
      </c>
      <c r="B95" s="6" t="s">
        <v>205</v>
      </c>
      <c r="C95" s="6" t="s">
        <v>204</v>
      </c>
      <c r="D95" s="6" t="s">
        <v>46</v>
      </c>
      <c r="E95" s="6" t="s">
        <v>35</v>
      </c>
      <c r="F95" s="6" t="n">
        <v>9.578259</v>
      </c>
      <c r="G95" s="6" t="n">
        <v>76.519471</v>
      </c>
      <c r="H95" s="6" t="n">
        <v>2</v>
      </c>
      <c r="I95" s="6" t="n">
        <v>80</v>
      </c>
      <c r="J95" s="6" t="s">
        <v>39</v>
      </c>
      <c r="K95" s="7" t="b">
        <f aca="false">TRUE()</f>
        <v>1</v>
      </c>
    </row>
    <row r="96" customFormat="false" ht="15" hidden="false" customHeight="false" outlineLevel="0" collapsed="false">
      <c r="A96" s="6" t="n">
        <v>313875</v>
      </c>
      <c r="B96" s="6" t="s">
        <v>206</v>
      </c>
      <c r="C96" s="6" t="s">
        <v>207</v>
      </c>
      <c r="D96" s="6" t="s">
        <v>46</v>
      </c>
      <c r="E96" s="6" t="s">
        <v>35</v>
      </c>
      <c r="F96" s="6" t="n">
        <v>9.49017</v>
      </c>
      <c r="G96" s="6" t="n">
        <v>76.320737</v>
      </c>
      <c r="H96" s="6" t="n">
        <v>1</v>
      </c>
      <c r="I96" s="6" t="n">
        <v>30</v>
      </c>
      <c r="J96" s="6" t="s">
        <v>36</v>
      </c>
      <c r="K96" s="7" t="b">
        <f aca="false">FALSE()</f>
        <v>0</v>
      </c>
    </row>
    <row r="97" customFormat="false" ht="15" hidden="false" customHeight="false" outlineLevel="0" collapsed="false">
      <c r="A97" s="6" t="n">
        <v>313874</v>
      </c>
      <c r="B97" s="6" t="s">
        <v>208</v>
      </c>
      <c r="C97" s="6" t="s">
        <v>207</v>
      </c>
      <c r="D97" s="6" t="s">
        <v>46</v>
      </c>
      <c r="E97" s="6" t="s">
        <v>35</v>
      </c>
      <c r="F97" s="6" t="n">
        <v>9.559497</v>
      </c>
      <c r="G97" s="6" t="n">
        <v>76.328214</v>
      </c>
      <c r="H97" s="6" t="n">
        <v>1</v>
      </c>
      <c r="I97" s="6" t="n">
        <v>30</v>
      </c>
      <c r="J97" s="6" t="s">
        <v>36</v>
      </c>
      <c r="K97" s="7" t="b">
        <f aca="false">FALSE()</f>
        <v>0</v>
      </c>
    </row>
    <row r="98" customFormat="false" ht="15" hidden="false" customHeight="false" outlineLevel="0" collapsed="false">
      <c r="A98" s="6" t="n">
        <v>313873</v>
      </c>
      <c r="B98" s="6" t="s">
        <v>209</v>
      </c>
      <c r="C98" s="6" t="s">
        <v>207</v>
      </c>
      <c r="D98" s="6" t="s">
        <v>46</v>
      </c>
      <c r="E98" s="6" t="s">
        <v>35</v>
      </c>
      <c r="F98" s="6" t="n">
        <v>9.562575</v>
      </c>
      <c r="G98" s="6" t="n">
        <v>76.327584</v>
      </c>
      <c r="H98" s="6" t="n">
        <v>1</v>
      </c>
      <c r="I98" s="6" t="n">
        <v>30</v>
      </c>
      <c r="J98" s="6" t="s">
        <v>36</v>
      </c>
      <c r="K98" s="7" t="b">
        <f aca="false">FALSE()</f>
        <v>0</v>
      </c>
    </row>
    <row r="99" customFormat="false" ht="15" hidden="false" customHeight="false" outlineLevel="0" collapsed="false">
      <c r="A99" s="6" t="n">
        <v>313872</v>
      </c>
      <c r="B99" s="6" t="s">
        <v>210</v>
      </c>
      <c r="C99" s="6" t="s">
        <v>211</v>
      </c>
      <c r="D99" s="6" t="s">
        <v>46</v>
      </c>
      <c r="E99" s="6" t="s">
        <v>35</v>
      </c>
      <c r="F99" s="6" t="n">
        <v>9.683891</v>
      </c>
      <c r="G99" s="6" t="n">
        <v>76.333582</v>
      </c>
      <c r="H99" s="6" t="n">
        <v>3</v>
      </c>
      <c r="I99" s="6" t="n">
        <v>60</v>
      </c>
      <c r="J99" s="6" t="s">
        <v>39</v>
      </c>
      <c r="K99" s="7" t="b">
        <f aca="false">TRUE()</f>
        <v>1</v>
      </c>
    </row>
    <row r="100" customFormat="false" ht="15" hidden="false" customHeight="false" outlineLevel="0" collapsed="false">
      <c r="A100" s="6" t="n">
        <v>313871</v>
      </c>
      <c r="B100" s="6" t="s">
        <v>212</v>
      </c>
      <c r="C100" s="6" t="s">
        <v>213</v>
      </c>
      <c r="D100" s="6" t="s">
        <v>46</v>
      </c>
      <c r="E100" s="6" t="s">
        <v>35</v>
      </c>
      <c r="F100" s="6" t="n">
        <v>9.85184</v>
      </c>
      <c r="G100" s="6" t="n">
        <v>76.389388</v>
      </c>
      <c r="H100" s="6" t="n">
        <v>1</v>
      </c>
      <c r="I100" s="6" t="n">
        <v>30</v>
      </c>
      <c r="J100" s="6" t="s">
        <v>36</v>
      </c>
      <c r="K100" s="7" t="b">
        <f aca="false">FALSE()</f>
        <v>0</v>
      </c>
    </row>
    <row r="101" customFormat="false" ht="15" hidden="false" customHeight="false" outlineLevel="0" collapsed="false">
      <c r="A101" s="6" t="n">
        <v>313870</v>
      </c>
      <c r="B101" s="6" t="s">
        <v>214</v>
      </c>
      <c r="C101" s="6" t="s">
        <v>215</v>
      </c>
      <c r="D101" s="6" t="s">
        <v>46</v>
      </c>
      <c r="E101" s="6" t="s">
        <v>35</v>
      </c>
      <c r="F101" s="6" t="n">
        <v>9.96261</v>
      </c>
      <c r="G101" s="6" t="n">
        <v>76.358001</v>
      </c>
      <c r="H101" s="6" t="n">
        <v>1</v>
      </c>
      <c r="I101" s="6" t="n">
        <v>30</v>
      </c>
      <c r="J101" s="6" t="s">
        <v>36</v>
      </c>
      <c r="K101" s="7" t="b">
        <f aca="false">FALSE()</f>
        <v>0</v>
      </c>
    </row>
    <row r="102" customFormat="false" ht="15" hidden="false" customHeight="false" outlineLevel="0" collapsed="false">
      <c r="A102" s="6" t="n">
        <v>313869</v>
      </c>
      <c r="B102" s="6" t="s">
        <v>216</v>
      </c>
      <c r="C102" s="6" t="s">
        <v>215</v>
      </c>
      <c r="D102" s="6" t="s">
        <v>46</v>
      </c>
      <c r="E102" s="6" t="s">
        <v>35</v>
      </c>
      <c r="F102" s="6" t="n">
        <v>9.948953</v>
      </c>
      <c r="G102" s="6" t="n">
        <v>76.347711</v>
      </c>
      <c r="H102" s="6" t="n">
        <v>5</v>
      </c>
      <c r="I102" s="6" t="n">
        <v>60</v>
      </c>
      <c r="J102" s="6" t="s">
        <v>39</v>
      </c>
      <c r="K102" s="7" t="b">
        <f aca="false">TRUE()</f>
        <v>1</v>
      </c>
    </row>
    <row r="103" customFormat="false" ht="15" hidden="false" customHeight="false" outlineLevel="0" collapsed="false">
      <c r="A103" s="6" t="n">
        <v>313868</v>
      </c>
      <c r="B103" s="6" t="s">
        <v>217</v>
      </c>
      <c r="C103" s="6" t="s">
        <v>218</v>
      </c>
      <c r="D103" s="6" t="s">
        <v>46</v>
      </c>
      <c r="E103" s="6" t="s">
        <v>35</v>
      </c>
      <c r="F103" s="6" t="n">
        <v>9.947758</v>
      </c>
      <c r="G103" s="6" t="n">
        <v>76.318546</v>
      </c>
      <c r="H103" s="6" t="n">
        <v>2</v>
      </c>
      <c r="I103" s="6" t="n">
        <v>60</v>
      </c>
      <c r="J103" s="6" t="s">
        <v>39</v>
      </c>
      <c r="K103" s="7" t="b">
        <f aca="false">TRUE()</f>
        <v>1</v>
      </c>
    </row>
    <row r="104" customFormat="false" ht="15" hidden="false" customHeight="false" outlineLevel="0" collapsed="false">
      <c r="A104" s="6" t="n">
        <v>313867</v>
      </c>
      <c r="B104" s="6" t="s">
        <v>219</v>
      </c>
      <c r="C104" s="6" t="s">
        <v>220</v>
      </c>
      <c r="D104" s="6" t="s">
        <v>46</v>
      </c>
      <c r="E104" s="6" t="s">
        <v>35</v>
      </c>
      <c r="F104" s="6" t="n">
        <v>9.947452</v>
      </c>
      <c r="G104" s="6" t="n">
        <v>76.303416</v>
      </c>
      <c r="H104" s="6" t="n">
        <v>3</v>
      </c>
      <c r="I104" s="6" t="n">
        <v>60</v>
      </c>
      <c r="J104" s="6" t="s">
        <v>39</v>
      </c>
      <c r="K104" s="7" t="b">
        <f aca="false">TRUE()</f>
        <v>1</v>
      </c>
    </row>
    <row r="105" customFormat="false" ht="15" hidden="false" customHeight="false" outlineLevel="0" collapsed="false">
      <c r="A105" s="6" t="n">
        <v>313866</v>
      </c>
      <c r="B105" s="6" t="s">
        <v>221</v>
      </c>
      <c r="C105" s="6" t="s">
        <v>222</v>
      </c>
      <c r="D105" s="6" t="s">
        <v>46</v>
      </c>
      <c r="E105" s="6" t="s">
        <v>35</v>
      </c>
      <c r="F105" s="6" t="n">
        <v>9.965194</v>
      </c>
      <c r="G105" s="6" t="n">
        <v>76.296623</v>
      </c>
      <c r="H105" s="6" t="n">
        <v>2</v>
      </c>
      <c r="I105" s="6" t="n">
        <v>25</v>
      </c>
      <c r="J105" s="6" t="s">
        <v>36</v>
      </c>
      <c r="K105" s="7" t="b">
        <f aca="false">FALSE()</f>
        <v>0</v>
      </c>
    </row>
    <row r="106" customFormat="false" ht="15" hidden="false" customHeight="false" outlineLevel="0" collapsed="false">
      <c r="A106" s="6" t="n">
        <v>313865</v>
      </c>
      <c r="B106" s="6" t="s">
        <v>223</v>
      </c>
      <c r="C106" s="6" t="s">
        <v>224</v>
      </c>
      <c r="D106" s="6" t="s">
        <v>46</v>
      </c>
      <c r="E106" s="6" t="s">
        <v>35</v>
      </c>
      <c r="F106" s="6" t="n">
        <v>9.99596</v>
      </c>
      <c r="G106" s="6" t="n">
        <v>76.314102</v>
      </c>
      <c r="H106" s="6" t="n">
        <v>2</v>
      </c>
      <c r="I106" s="6" t="n">
        <v>60</v>
      </c>
      <c r="J106" s="6" t="s">
        <v>39</v>
      </c>
      <c r="K106" s="7" t="b">
        <f aca="false">TRUE()</f>
        <v>1</v>
      </c>
    </row>
    <row r="107" customFormat="false" ht="15" hidden="false" customHeight="false" outlineLevel="0" collapsed="false">
      <c r="A107" s="6" t="n">
        <v>313864</v>
      </c>
      <c r="B107" s="6" t="s">
        <v>225</v>
      </c>
      <c r="C107" s="6" t="s">
        <v>224</v>
      </c>
      <c r="D107" s="6" t="s">
        <v>46</v>
      </c>
      <c r="E107" s="6" t="s">
        <v>35</v>
      </c>
      <c r="F107" s="6" t="n">
        <v>9.998499</v>
      </c>
      <c r="G107" s="6" t="n">
        <v>76.313861</v>
      </c>
      <c r="H107" s="6" t="n">
        <v>2</v>
      </c>
      <c r="I107" s="6" t="n">
        <v>60</v>
      </c>
      <c r="J107" s="6" t="s">
        <v>39</v>
      </c>
      <c r="K107" s="7" t="b">
        <f aca="false">TRUE()</f>
        <v>1</v>
      </c>
    </row>
    <row r="108" customFormat="false" ht="15" hidden="false" customHeight="false" outlineLevel="0" collapsed="false">
      <c r="A108" s="6" t="n">
        <v>313863</v>
      </c>
      <c r="B108" s="6" t="s">
        <v>226</v>
      </c>
      <c r="C108" s="6" t="s">
        <v>227</v>
      </c>
      <c r="D108" s="6" t="s">
        <v>46</v>
      </c>
      <c r="E108" s="6" t="s">
        <v>35</v>
      </c>
      <c r="F108" s="6" t="n">
        <v>10.014659</v>
      </c>
      <c r="G108" s="6" t="n">
        <v>76.342401</v>
      </c>
      <c r="H108" s="6" t="n">
        <v>2</v>
      </c>
      <c r="I108" s="6" t="n">
        <v>25</v>
      </c>
      <c r="J108" s="6" t="s">
        <v>36</v>
      </c>
      <c r="K108" s="7" t="b">
        <f aca="false">FALSE()</f>
        <v>0</v>
      </c>
    </row>
    <row r="109" customFormat="false" ht="15" hidden="false" customHeight="false" outlineLevel="0" collapsed="false">
      <c r="A109" s="6" t="n">
        <v>313862</v>
      </c>
      <c r="B109" s="6" t="s">
        <v>228</v>
      </c>
      <c r="C109" s="6" t="s">
        <v>229</v>
      </c>
      <c r="D109" s="6" t="s">
        <v>46</v>
      </c>
      <c r="E109" s="6" t="s">
        <v>35</v>
      </c>
      <c r="F109" s="6" t="n">
        <v>10.035674</v>
      </c>
      <c r="G109" s="6" t="n">
        <v>76.336448</v>
      </c>
      <c r="H109" s="6" t="n">
        <v>1</v>
      </c>
      <c r="I109" s="6" t="n">
        <v>30</v>
      </c>
      <c r="J109" s="6" t="s">
        <v>36</v>
      </c>
      <c r="K109" s="7" t="b">
        <f aca="false">FALSE()</f>
        <v>0</v>
      </c>
    </row>
    <row r="110" customFormat="false" ht="15" hidden="false" customHeight="false" outlineLevel="0" collapsed="false">
      <c r="A110" s="6" t="n">
        <v>313861</v>
      </c>
      <c r="B110" s="6" t="s">
        <v>230</v>
      </c>
      <c r="C110" s="6" t="s">
        <v>231</v>
      </c>
      <c r="D110" s="6" t="s">
        <v>46</v>
      </c>
      <c r="E110" s="6" t="s">
        <v>35</v>
      </c>
      <c r="F110" s="6" t="n">
        <v>10.032115</v>
      </c>
      <c r="G110" s="6" t="n">
        <v>76.32296</v>
      </c>
      <c r="H110" s="6" t="n">
        <v>7</v>
      </c>
      <c r="I110" s="6" t="n">
        <v>30</v>
      </c>
      <c r="J110" s="6" t="s">
        <v>36</v>
      </c>
      <c r="K110" s="7" t="b">
        <f aca="false">FALSE()</f>
        <v>0</v>
      </c>
    </row>
    <row r="111" customFormat="false" ht="15" hidden="false" customHeight="false" outlineLevel="0" collapsed="false">
      <c r="A111" s="6" t="n">
        <v>313860</v>
      </c>
      <c r="B111" s="6" t="s">
        <v>232</v>
      </c>
      <c r="C111" s="6" t="s">
        <v>231</v>
      </c>
      <c r="D111" s="6" t="s">
        <v>46</v>
      </c>
      <c r="E111" s="6" t="s">
        <v>35</v>
      </c>
      <c r="F111" s="6" t="n">
        <v>10.014373</v>
      </c>
      <c r="G111" s="6" t="n">
        <v>76.312533</v>
      </c>
      <c r="H111" s="6" t="n">
        <v>2</v>
      </c>
      <c r="I111" s="6" t="n">
        <v>60</v>
      </c>
      <c r="J111" s="6" t="s">
        <v>39</v>
      </c>
      <c r="K111" s="7" t="b">
        <f aca="false">TRUE()</f>
        <v>1</v>
      </c>
    </row>
    <row r="112" customFormat="false" ht="15" hidden="false" customHeight="false" outlineLevel="0" collapsed="false">
      <c r="A112" s="6" t="n">
        <v>313859</v>
      </c>
      <c r="B112" s="6" t="s">
        <v>233</v>
      </c>
      <c r="C112" s="6" t="s">
        <v>231</v>
      </c>
      <c r="D112" s="6" t="s">
        <v>46</v>
      </c>
      <c r="E112" s="6" t="s">
        <v>35</v>
      </c>
      <c r="F112" s="6" t="n">
        <v>10.025853</v>
      </c>
      <c r="G112" s="6" t="n">
        <v>76.30848</v>
      </c>
      <c r="H112" s="6" t="n">
        <v>4</v>
      </c>
      <c r="I112" s="6" t="n">
        <v>60</v>
      </c>
      <c r="J112" s="6" t="s">
        <v>39</v>
      </c>
      <c r="K112" s="7" t="b">
        <f aca="false">TRUE()</f>
        <v>1</v>
      </c>
    </row>
    <row r="113" customFormat="false" ht="15" hidden="false" customHeight="false" outlineLevel="0" collapsed="false">
      <c r="A113" s="6" t="n">
        <v>313858</v>
      </c>
      <c r="B113" s="6" t="s">
        <v>234</v>
      </c>
      <c r="C113" s="6" t="s">
        <v>235</v>
      </c>
      <c r="D113" s="6" t="s">
        <v>46</v>
      </c>
      <c r="E113" s="6" t="s">
        <v>35</v>
      </c>
      <c r="F113" s="6" t="n">
        <v>10.056579</v>
      </c>
      <c r="G113" s="6" t="n">
        <v>76.776647</v>
      </c>
      <c r="H113" s="6" t="n">
        <v>1</v>
      </c>
      <c r="I113" s="6" t="n">
        <v>3.3</v>
      </c>
      <c r="J113" s="6" t="s">
        <v>126</v>
      </c>
      <c r="K113" s="7" t="b">
        <f aca="false">FALSE()</f>
        <v>0</v>
      </c>
    </row>
    <row r="114" customFormat="false" ht="15" hidden="false" customHeight="false" outlineLevel="0" collapsed="false">
      <c r="A114" s="6" t="n">
        <v>313857</v>
      </c>
      <c r="B114" s="6" t="s">
        <v>236</v>
      </c>
      <c r="C114" s="6" t="s">
        <v>237</v>
      </c>
      <c r="D114" s="6" t="s">
        <v>46</v>
      </c>
      <c r="E114" s="6" t="s">
        <v>35</v>
      </c>
      <c r="F114" s="6" t="n">
        <v>10.089873</v>
      </c>
      <c r="G114" s="6" t="n">
        <v>76.49767</v>
      </c>
      <c r="H114" s="6" t="n">
        <v>5</v>
      </c>
      <c r="I114" s="6" t="n">
        <v>80</v>
      </c>
      <c r="J114" s="6" t="s">
        <v>39</v>
      </c>
      <c r="K114" s="7" t="b">
        <f aca="false">TRUE()</f>
        <v>1</v>
      </c>
    </row>
    <row r="115" customFormat="false" ht="15" hidden="false" customHeight="false" outlineLevel="0" collapsed="false">
      <c r="A115" s="6" t="n">
        <v>313856</v>
      </c>
      <c r="B115" s="6" t="s">
        <v>238</v>
      </c>
      <c r="C115" s="6" t="s">
        <v>237</v>
      </c>
      <c r="D115" s="6" t="s">
        <v>46</v>
      </c>
      <c r="E115" s="6" t="s">
        <v>35</v>
      </c>
      <c r="F115" s="6" t="n">
        <v>10.1166</v>
      </c>
      <c r="G115" s="6" t="n">
        <v>76.445699</v>
      </c>
      <c r="H115" s="6" t="n">
        <v>3</v>
      </c>
      <c r="I115" s="6" t="n">
        <v>60</v>
      </c>
      <c r="J115" s="6" t="s">
        <v>39</v>
      </c>
      <c r="K115" s="7" t="b">
        <f aca="false">TRUE()</f>
        <v>1</v>
      </c>
    </row>
    <row r="116" customFormat="false" ht="15" hidden="false" customHeight="false" outlineLevel="0" collapsed="false">
      <c r="A116" s="6" t="n">
        <v>313855</v>
      </c>
      <c r="B116" s="6" t="s">
        <v>239</v>
      </c>
      <c r="C116" s="6" t="s">
        <v>240</v>
      </c>
      <c r="D116" s="6" t="s">
        <v>46</v>
      </c>
      <c r="E116" s="6" t="s">
        <v>35</v>
      </c>
      <c r="F116" s="6" t="n">
        <v>10.134847</v>
      </c>
      <c r="G116" s="6" t="n">
        <v>76.354549</v>
      </c>
      <c r="H116" s="6" t="n">
        <v>1</v>
      </c>
      <c r="I116" s="6" t="n">
        <v>30</v>
      </c>
      <c r="J116" s="6" t="s">
        <v>36</v>
      </c>
      <c r="K116" s="7" t="b">
        <f aca="false">FALSE()</f>
        <v>0</v>
      </c>
    </row>
    <row r="117" customFormat="false" ht="15" hidden="false" customHeight="false" outlineLevel="0" collapsed="false">
      <c r="A117" s="6" t="n">
        <v>313854</v>
      </c>
      <c r="B117" s="6" t="s">
        <v>241</v>
      </c>
      <c r="C117" s="6" t="s">
        <v>242</v>
      </c>
      <c r="D117" s="6" t="s">
        <v>46</v>
      </c>
      <c r="E117" s="6" t="s">
        <v>35</v>
      </c>
      <c r="F117" s="6" t="n">
        <v>10.141444</v>
      </c>
      <c r="G117" s="6" t="n">
        <v>76.352934</v>
      </c>
      <c r="H117" s="6" t="n">
        <v>2</v>
      </c>
      <c r="I117" s="6" t="n">
        <v>80</v>
      </c>
      <c r="J117" s="6" t="s">
        <v>39</v>
      </c>
      <c r="K117" s="7" t="b">
        <f aca="false">TRUE()</f>
        <v>1</v>
      </c>
    </row>
    <row r="118" customFormat="false" ht="15" hidden="false" customHeight="false" outlineLevel="0" collapsed="false">
      <c r="A118" s="6" t="n">
        <v>313853</v>
      </c>
      <c r="B118" s="6" t="s">
        <v>243</v>
      </c>
      <c r="C118" s="6" t="s">
        <v>242</v>
      </c>
      <c r="D118" s="6" t="s">
        <v>46</v>
      </c>
      <c r="E118" s="6" t="s">
        <v>35</v>
      </c>
      <c r="F118" s="6" t="n">
        <v>10.155053</v>
      </c>
      <c r="G118" s="6" t="n">
        <v>76.354715</v>
      </c>
      <c r="H118" s="6" t="n">
        <v>1</v>
      </c>
      <c r="I118" s="6" t="n">
        <v>24</v>
      </c>
      <c r="J118" s="6" t="s">
        <v>36</v>
      </c>
      <c r="K118" s="7" t="b">
        <f aca="false">FALSE()</f>
        <v>0</v>
      </c>
    </row>
    <row r="119" customFormat="false" ht="15" hidden="false" customHeight="false" outlineLevel="0" collapsed="false">
      <c r="A119" s="6" t="n">
        <v>313852</v>
      </c>
      <c r="B119" s="6" t="s">
        <v>244</v>
      </c>
      <c r="C119" s="6" t="s">
        <v>56</v>
      </c>
      <c r="D119" s="6" t="s">
        <v>46</v>
      </c>
      <c r="E119" s="6" t="s">
        <v>35</v>
      </c>
      <c r="F119" s="6" t="n">
        <v>10.20178</v>
      </c>
      <c r="G119" s="6" t="n">
        <v>76.409662</v>
      </c>
      <c r="H119" s="6" t="n">
        <v>2</v>
      </c>
      <c r="I119" s="6" t="n">
        <v>80</v>
      </c>
      <c r="J119" s="6" t="s">
        <v>39</v>
      </c>
      <c r="K119" s="7" t="b">
        <f aca="false">TRUE()</f>
        <v>1</v>
      </c>
    </row>
    <row r="120" customFormat="false" ht="15" hidden="false" customHeight="false" outlineLevel="0" collapsed="false">
      <c r="A120" s="6" t="n">
        <v>313851</v>
      </c>
      <c r="B120" s="6" t="s">
        <v>245</v>
      </c>
      <c r="C120" s="6" t="s">
        <v>246</v>
      </c>
      <c r="D120" s="6" t="s">
        <v>46</v>
      </c>
      <c r="E120" s="6" t="s">
        <v>35</v>
      </c>
      <c r="F120" s="6" t="n">
        <v>10.087291</v>
      </c>
      <c r="G120" s="6" t="n">
        <v>76.267891</v>
      </c>
      <c r="H120" s="6" t="n">
        <v>1</v>
      </c>
      <c r="I120" s="6" t="n">
        <v>25</v>
      </c>
      <c r="J120" s="6" t="s">
        <v>36</v>
      </c>
      <c r="K120" s="7" t="b">
        <f aca="false">FALSE()</f>
        <v>0</v>
      </c>
    </row>
    <row r="121" customFormat="false" ht="15" hidden="false" customHeight="false" outlineLevel="0" collapsed="false">
      <c r="A121" s="6" t="n">
        <v>313850</v>
      </c>
      <c r="B121" s="6" t="s">
        <v>247</v>
      </c>
      <c r="C121" s="6" t="s">
        <v>248</v>
      </c>
      <c r="D121" s="6" t="s">
        <v>46</v>
      </c>
      <c r="E121" s="6" t="s">
        <v>35</v>
      </c>
      <c r="F121" s="6" t="n">
        <v>10.149673</v>
      </c>
      <c r="G121" s="6" t="n">
        <v>76.217564</v>
      </c>
      <c r="H121" s="6" t="n">
        <v>1</v>
      </c>
      <c r="I121" s="6" t="n">
        <v>30</v>
      </c>
      <c r="J121" s="6" t="s">
        <v>36</v>
      </c>
      <c r="K121" s="7" t="b">
        <f aca="false">FALSE()</f>
        <v>0</v>
      </c>
    </row>
    <row r="122" customFormat="false" ht="15" hidden="false" customHeight="false" outlineLevel="0" collapsed="false">
      <c r="A122" s="6" t="n">
        <v>313849</v>
      </c>
      <c r="B122" s="6" t="s">
        <v>249</v>
      </c>
      <c r="C122" s="6" t="s">
        <v>250</v>
      </c>
      <c r="D122" s="6" t="s">
        <v>46</v>
      </c>
      <c r="E122" s="6" t="s">
        <v>35</v>
      </c>
      <c r="F122" s="6" t="n">
        <v>10.277245</v>
      </c>
      <c r="G122" s="6" t="n">
        <v>76.344528</v>
      </c>
      <c r="H122" s="6" t="n">
        <v>2</v>
      </c>
      <c r="I122" s="6" t="n">
        <v>60</v>
      </c>
      <c r="J122" s="6" t="s">
        <v>39</v>
      </c>
      <c r="K122" s="7" t="b">
        <f aca="false">TRUE()</f>
        <v>1</v>
      </c>
    </row>
    <row r="123" customFormat="false" ht="15" hidden="false" customHeight="false" outlineLevel="0" collapsed="false">
      <c r="A123" s="6" t="n">
        <v>313848</v>
      </c>
      <c r="B123" s="6" t="s">
        <v>251</v>
      </c>
      <c r="C123" s="6" t="s">
        <v>252</v>
      </c>
      <c r="D123" s="6" t="s">
        <v>46</v>
      </c>
      <c r="E123" s="6" t="s">
        <v>35</v>
      </c>
      <c r="F123" s="6" t="n">
        <v>10.240669</v>
      </c>
      <c r="G123" s="6" t="n">
        <v>76.272529</v>
      </c>
      <c r="H123" s="6" t="n">
        <v>1</v>
      </c>
      <c r="I123" s="6" t="n">
        <v>25</v>
      </c>
      <c r="J123" s="6" t="s">
        <v>36</v>
      </c>
      <c r="K123" s="7" t="b">
        <f aca="false">FALSE()</f>
        <v>0</v>
      </c>
    </row>
    <row r="124" customFormat="false" ht="15" hidden="false" customHeight="false" outlineLevel="0" collapsed="false">
      <c r="A124" s="6" t="n">
        <v>313847</v>
      </c>
      <c r="B124" s="6" t="s">
        <v>253</v>
      </c>
      <c r="C124" s="6" t="s">
        <v>58</v>
      </c>
      <c r="D124" s="6" t="s">
        <v>46</v>
      </c>
      <c r="E124" s="6" t="s">
        <v>35</v>
      </c>
      <c r="F124" s="6" t="n">
        <v>10.211292</v>
      </c>
      <c r="G124" s="6" t="n">
        <v>76.198989</v>
      </c>
      <c r="H124" s="6" t="n">
        <v>2</v>
      </c>
      <c r="I124" s="6" t="n">
        <v>25</v>
      </c>
      <c r="J124" s="6" t="s">
        <v>36</v>
      </c>
      <c r="K124" s="7" t="b">
        <f aca="false">FALSE()</f>
        <v>0</v>
      </c>
    </row>
    <row r="125" customFormat="false" ht="15" hidden="false" customHeight="false" outlineLevel="0" collapsed="false">
      <c r="A125" s="6" t="n">
        <v>313846</v>
      </c>
      <c r="B125" s="6" t="s">
        <v>254</v>
      </c>
      <c r="C125" s="6" t="s">
        <v>58</v>
      </c>
      <c r="D125" s="6" t="s">
        <v>46</v>
      </c>
      <c r="E125" s="6" t="s">
        <v>35</v>
      </c>
      <c r="F125" s="6" t="n">
        <v>10.378135</v>
      </c>
      <c r="G125" s="6" t="n">
        <v>76.122545</v>
      </c>
      <c r="H125" s="6" t="n">
        <v>3</v>
      </c>
      <c r="I125" s="6" t="n">
        <v>60</v>
      </c>
      <c r="J125" s="6" t="s">
        <v>39</v>
      </c>
      <c r="K125" s="7" t="b">
        <f aca="false">TRUE()</f>
        <v>1</v>
      </c>
    </row>
    <row r="126" customFormat="false" ht="15" hidden="false" customHeight="false" outlineLevel="0" collapsed="false">
      <c r="A126" s="6" t="n">
        <v>313843</v>
      </c>
      <c r="B126" s="6" t="s">
        <v>255</v>
      </c>
      <c r="C126" s="6" t="s">
        <v>66</v>
      </c>
      <c r="D126" s="6" t="s">
        <v>46</v>
      </c>
      <c r="E126" s="6" t="s">
        <v>35</v>
      </c>
      <c r="F126" s="6" t="n">
        <v>10.435595</v>
      </c>
      <c r="G126" s="6" t="n">
        <v>76.265875</v>
      </c>
      <c r="H126" s="6" t="n">
        <v>4</v>
      </c>
      <c r="I126" s="6" t="n">
        <v>60</v>
      </c>
      <c r="J126" s="6" t="s">
        <v>39</v>
      </c>
      <c r="K126" s="7" t="b">
        <f aca="false">TRUE()</f>
        <v>1</v>
      </c>
    </row>
    <row r="127" customFormat="false" ht="15" hidden="false" customHeight="false" outlineLevel="0" collapsed="false">
      <c r="A127" s="6" t="n">
        <v>313841</v>
      </c>
      <c r="B127" s="6" t="s">
        <v>256</v>
      </c>
      <c r="C127" s="6" t="s">
        <v>66</v>
      </c>
      <c r="D127" s="6" t="s">
        <v>46</v>
      </c>
      <c r="E127" s="6" t="s">
        <v>35</v>
      </c>
      <c r="F127" s="6" t="n">
        <v>10.52615</v>
      </c>
      <c r="G127" s="6" t="n">
        <v>76.187955</v>
      </c>
      <c r="H127" s="6" t="n">
        <v>1</v>
      </c>
      <c r="I127" s="6" t="n">
        <v>30</v>
      </c>
      <c r="J127" s="6" t="s">
        <v>36</v>
      </c>
      <c r="K127" s="7" t="b">
        <f aca="false">FALSE()</f>
        <v>0</v>
      </c>
    </row>
    <row r="128" customFormat="false" ht="15" hidden="false" customHeight="false" outlineLevel="0" collapsed="false">
      <c r="A128" s="6" t="n">
        <v>313839</v>
      </c>
      <c r="B128" s="6" t="s">
        <v>257</v>
      </c>
      <c r="C128" s="6" t="s">
        <v>66</v>
      </c>
      <c r="D128" s="6" t="s">
        <v>46</v>
      </c>
      <c r="E128" s="6" t="s">
        <v>35</v>
      </c>
      <c r="F128" s="6" t="n">
        <v>10.548947</v>
      </c>
      <c r="G128" s="6" t="n">
        <v>76.183041</v>
      </c>
      <c r="H128" s="6" t="n">
        <v>4</v>
      </c>
      <c r="I128" s="6" t="n">
        <v>60</v>
      </c>
      <c r="J128" s="6" t="s">
        <v>39</v>
      </c>
      <c r="K128" s="7" t="b">
        <f aca="false">TRUE()</f>
        <v>1</v>
      </c>
    </row>
    <row r="129" customFormat="false" ht="15" hidden="false" customHeight="false" outlineLevel="0" collapsed="false">
      <c r="A129" s="6" t="n">
        <v>313838</v>
      </c>
      <c r="B129" s="6" t="s">
        <v>258</v>
      </c>
      <c r="C129" s="6" t="s">
        <v>259</v>
      </c>
      <c r="D129" s="6" t="s">
        <v>46</v>
      </c>
      <c r="E129" s="6" t="s">
        <v>35</v>
      </c>
      <c r="F129" s="6" t="n">
        <v>10.564967</v>
      </c>
      <c r="G129" s="6" t="n">
        <v>76.165984</v>
      </c>
      <c r="H129" s="6" t="n">
        <v>3</v>
      </c>
      <c r="I129" s="6" t="n">
        <v>80</v>
      </c>
      <c r="J129" s="6" t="s">
        <v>39</v>
      </c>
      <c r="K129" s="7" t="b">
        <f aca="false">TRUE()</f>
        <v>1</v>
      </c>
    </row>
    <row r="130" customFormat="false" ht="15" hidden="false" customHeight="false" outlineLevel="0" collapsed="false">
      <c r="A130" s="6" t="n">
        <v>313836</v>
      </c>
      <c r="B130" s="6" t="s">
        <v>260</v>
      </c>
      <c r="C130" s="6" t="s">
        <v>261</v>
      </c>
      <c r="D130" s="6" t="s">
        <v>46</v>
      </c>
      <c r="E130" s="6" t="s">
        <v>35</v>
      </c>
      <c r="F130" s="6" t="n">
        <v>10.487291</v>
      </c>
      <c r="G130" s="6" t="n">
        <v>76.070836</v>
      </c>
      <c r="H130" s="6" t="n">
        <v>2</v>
      </c>
      <c r="I130" s="6" t="n">
        <v>60</v>
      </c>
      <c r="J130" s="6" t="s">
        <v>39</v>
      </c>
      <c r="K130" s="7" t="b">
        <f aca="false">TRUE()</f>
        <v>1</v>
      </c>
    </row>
    <row r="131" customFormat="false" ht="15" hidden="false" customHeight="false" outlineLevel="0" collapsed="false">
      <c r="A131" s="6" t="n">
        <v>313835</v>
      </c>
      <c r="B131" s="6" t="s">
        <v>262</v>
      </c>
      <c r="C131" s="6" t="s">
        <v>263</v>
      </c>
      <c r="D131" s="6" t="s">
        <v>46</v>
      </c>
      <c r="E131" s="6" t="s">
        <v>35</v>
      </c>
      <c r="F131" s="6" t="n">
        <v>10.494542</v>
      </c>
      <c r="G131" s="6" t="n">
        <v>76.065847</v>
      </c>
      <c r="H131" s="6" t="n">
        <v>2</v>
      </c>
      <c r="I131" s="6" t="n">
        <v>60</v>
      </c>
      <c r="J131" s="6" t="s">
        <v>39</v>
      </c>
      <c r="K131" s="7" t="b">
        <f aca="false">TRUE()</f>
        <v>1</v>
      </c>
    </row>
    <row r="132" customFormat="false" ht="15" hidden="false" customHeight="false" outlineLevel="0" collapsed="false">
      <c r="A132" s="6" t="n">
        <v>313819</v>
      </c>
      <c r="B132" s="6" t="s">
        <v>264</v>
      </c>
      <c r="C132" s="6" t="s">
        <v>265</v>
      </c>
      <c r="D132" s="6" t="s">
        <v>46</v>
      </c>
      <c r="E132" s="6" t="s">
        <v>35</v>
      </c>
      <c r="F132" s="6" t="n">
        <v>10.598448</v>
      </c>
      <c r="G132" s="6" t="n">
        <v>76.036368</v>
      </c>
      <c r="H132" s="6" t="n">
        <v>1</v>
      </c>
      <c r="I132" s="6" t="n">
        <v>3.3</v>
      </c>
      <c r="J132" s="6" t="s">
        <v>126</v>
      </c>
      <c r="K132" s="7" t="b">
        <f aca="false">FALSE()</f>
        <v>0</v>
      </c>
    </row>
    <row r="133" customFormat="false" ht="15" hidden="false" customHeight="false" outlineLevel="0" collapsed="false">
      <c r="A133" s="6" t="n">
        <v>313818</v>
      </c>
      <c r="B133" s="6" t="s">
        <v>266</v>
      </c>
      <c r="C133" s="6" t="s">
        <v>267</v>
      </c>
      <c r="D133" s="6" t="s">
        <v>46</v>
      </c>
      <c r="E133" s="6" t="s">
        <v>35</v>
      </c>
      <c r="F133" s="6" t="n">
        <v>10.797309</v>
      </c>
      <c r="G133" s="6" t="n">
        <v>76.827541</v>
      </c>
      <c r="H133" s="6" t="n">
        <v>2</v>
      </c>
      <c r="I133" s="6" t="n">
        <v>7.4</v>
      </c>
      <c r="J133" s="6" t="s">
        <v>126</v>
      </c>
      <c r="K133" s="7" t="b">
        <f aca="false">FALSE()</f>
        <v>0</v>
      </c>
    </row>
    <row r="134" customFormat="false" ht="15" hidden="false" customHeight="false" outlineLevel="0" collapsed="false">
      <c r="A134" s="6" t="n">
        <v>313817</v>
      </c>
      <c r="B134" s="6" t="s">
        <v>268</v>
      </c>
      <c r="C134" s="6" t="s">
        <v>267</v>
      </c>
      <c r="D134" s="6" t="s">
        <v>46</v>
      </c>
      <c r="E134" s="6" t="s">
        <v>35</v>
      </c>
      <c r="F134" s="6" t="n">
        <v>10.793487</v>
      </c>
      <c r="G134" s="6" t="n">
        <v>76.82653</v>
      </c>
      <c r="H134" s="6" t="n">
        <v>2</v>
      </c>
      <c r="I134" s="6" t="n">
        <v>7.4</v>
      </c>
      <c r="J134" s="6" t="s">
        <v>126</v>
      </c>
      <c r="K134" s="7" t="b">
        <f aca="false">FALSE()</f>
        <v>0</v>
      </c>
    </row>
    <row r="135" customFormat="false" ht="15" hidden="false" customHeight="false" outlineLevel="0" collapsed="false">
      <c r="A135" s="6" t="n">
        <v>313816</v>
      </c>
      <c r="B135" s="6" t="s">
        <v>269</v>
      </c>
      <c r="C135" s="6" t="s">
        <v>267</v>
      </c>
      <c r="D135" s="6" t="s">
        <v>46</v>
      </c>
      <c r="E135" s="6" t="s">
        <v>35</v>
      </c>
      <c r="F135" s="6" t="n">
        <v>10.792032</v>
      </c>
      <c r="G135" s="6" t="n">
        <v>76.828347</v>
      </c>
      <c r="H135" s="6" t="n">
        <v>2</v>
      </c>
      <c r="I135" s="6" t="n">
        <v>7.4</v>
      </c>
      <c r="J135" s="6" t="s">
        <v>126</v>
      </c>
      <c r="K135" s="7" t="b">
        <f aca="false">FALSE()</f>
        <v>0</v>
      </c>
    </row>
    <row r="136" customFormat="false" ht="15" hidden="false" customHeight="false" outlineLevel="0" collapsed="false">
      <c r="A136" s="6" t="n">
        <v>313815</v>
      </c>
      <c r="B136" s="6" t="s">
        <v>270</v>
      </c>
      <c r="C136" s="6" t="s">
        <v>271</v>
      </c>
      <c r="D136" s="6" t="s">
        <v>46</v>
      </c>
      <c r="E136" s="6" t="s">
        <v>35</v>
      </c>
      <c r="F136" s="6" t="n">
        <v>10.826593</v>
      </c>
      <c r="G136" s="6" t="n">
        <v>76.826053</v>
      </c>
      <c r="H136" s="6" t="n">
        <v>3</v>
      </c>
      <c r="I136" s="6" t="n">
        <v>60</v>
      </c>
      <c r="J136" s="6" t="s">
        <v>39</v>
      </c>
      <c r="K136" s="7" t="b">
        <f aca="false">TRUE()</f>
        <v>1</v>
      </c>
    </row>
    <row r="137" customFormat="false" ht="15" hidden="false" customHeight="false" outlineLevel="0" collapsed="false">
      <c r="A137" s="6" t="n">
        <v>313814</v>
      </c>
      <c r="B137" s="6" t="s">
        <v>272</v>
      </c>
      <c r="C137" s="6" t="s">
        <v>60</v>
      </c>
      <c r="D137" s="6" t="s">
        <v>46</v>
      </c>
      <c r="E137" s="6" t="s">
        <v>35</v>
      </c>
      <c r="F137" s="6" t="n">
        <v>10.773957</v>
      </c>
      <c r="G137" s="6" t="n">
        <v>76.698197</v>
      </c>
      <c r="H137" s="6" t="n">
        <v>3</v>
      </c>
      <c r="I137" s="6" t="n">
        <v>60</v>
      </c>
      <c r="J137" s="6" t="s">
        <v>39</v>
      </c>
      <c r="K137" s="7" t="b">
        <f aca="false">TRUE()</f>
        <v>1</v>
      </c>
    </row>
    <row r="138" customFormat="false" ht="15" hidden="false" customHeight="false" outlineLevel="0" collapsed="false">
      <c r="A138" s="6" t="n">
        <v>313813</v>
      </c>
      <c r="B138" s="6" t="s">
        <v>273</v>
      </c>
      <c r="C138" s="6" t="s">
        <v>274</v>
      </c>
      <c r="D138" s="6" t="s">
        <v>46</v>
      </c>
      <c r="E138" s="6" t="s">
        <v>35</v>
      </c>
      <c r="F138" s="6" t="n">
        <v>10.646166</v>
      </c>
      <c r="G138" s="6" t="n">
        <v>76.551402</v>
      </c>
      <c r="H138" s="6" t="n">
        <v>3</v>
      </c>
      <c r="I138" s="6" t="n">
        <v>60</v>
      </c>
      <c r="J138" s="6" t="s">
        <v>39</v>
      </c>
      <c r="K138" s="7" t="b">
        <f aca="false">TRUE()</f>
        <v>1</v>
      </c>
    </row>
    <row r="139" customFormat="false" ht="15" hidden="false" customHeight="false" outlineLevel="0" collapsed="false">
      <c r="A139" s="6" t="n">
        <v>313812</v>
      </c>
      <c r="B139" s="6" t="s">
        <v>275</v>
      </c>
      <c r="C139" s="6" t="s">
        <v>274</v>
      </c>
      <c r="D139" s="6" t="s">
        <v>46</v>
      </c>
      <c r="E139" s="6" t="s">
        <v>35</v>
      </c>
      <c r="F139" s="6" t="n">
        <v>10.638304</v>
      </c>
      <c r="G139" s="6" t="n">
        <v>76.52393</v>
      </c>
      <c r="H139" s="6" t="n">
        <v>2</v>
      </c>
      <c r="I139" s="6" t="n">
        <v>7.4</v>
      </c>
      <c r="J139" s="6" t="s">
        <v>126</v>
      </c>
      <c r="K139" s="7" t="b">
        <f aca="false">FALSE()</f>
        <v>0</v>
      </c>
    </row>
    <row r="140" customFormat="false" ht="15" hidden="false" customHeight="false" outlineLevel="0" collapsed="false">
      <c r="A140" s="6" t="n">
        <v>313811</v>
      </c>
      <c r="B140" s="6" t="s">
        <v>276</v>
      </c>
      <c r="C140" s="6" t="s">
        <v>277</v>
      </c>
      <c r="D140" s="6" t="s">
        <v>46</v>
      </c>
      <c r="E140" s="6" t="s">
        <v>35</v>
      </c>
      <c r="F140" s="6" t="n">
        <v>10.593239</v>
      </c>
      <c r="G140" s="6" t="n">
        <v>76.482535</v>
      </c>
      <c r="H140" s="6" t="n">
        <v>1</v>
      </c>
      <c r="I140" s="6" t="n">
        <v>25</v>
      </c>
      <c r="J140" s="6" t="s">
        <v>36</v>
      </c>
      <c r="K140" s="7" t="b">
        <f aca="false">FALSE()</f>
        <v>0</v>
      </c>
    </row>
    <row r="141" customFormat="false" ht="15" hidden="false" customHeight="false" outlineLevel="0" collapsed="false">
      <c r="A141" s="6" t="n">
        <v>313810</v>
      </c>
      <c r="B141" s="6" t="s">
        <v>278</v>
      </c>
      <c r="C141" s="6" t="s">
        <v>279</v>
      </c>
      <c r="D141" s="6" t="s">
        <v>46</v>
      </c>
      <c r="E141" s="6" t="s">
        <v>35</v>
      </c>
      <c r="F141" s="6" t="n">
        <v>10.710022</v>
      </c>
      <c r="G141" s="6" t="n">
        <v>76.428793</v>
      </c>
      <c r="H141" s="6" t="n">
        <v>2</v>
      </c>
      <c r="I141" s="6" t="n">
        <v>25</v>
      </c>
      <c r="J141" s="6" t="s">
        <v>36</v>
      </c>
      <c r="K141" s="7" t="b">
        <f aca="false">FALSE()</f>
        <v>0</v>
      </c>
    </row>
    <row r="142" customFormat="false" ht="15" hidden="false" customHeight="false" outlineLevel="0" collapsed="false">
      <c r="A142" s="6" t="n">
        <v>313809</v>
      </c>
      <c r="B142" s="6" t="s">
        <v>280</v>
      </c>
      <c r="C142" s="6" t="s">
        <v>281</v>
      </c>
      <c r="D142" s="6" t="s">
        <v>46</v>
      </c>
      <c r="E142" s="6" t="s">
        <v>35</v>
      </c>
      <c r="F142" s="6" t="n">
        <v>10.692716</v>
      </c>
      <c r="G142" s="6" t="n">
        <v>76.268584</v>
      </c>
      <c r="H142" s="6" t="n">
        <v>4</v>
      </c>
      <c r="I142" s="6" t="n">
        <v>60</v>
      </c>
      <c r="J142" s="6" t="s">
        <v>39</v>
      </c>
      <c r="K142" s="7" t="b">
        <f aca="false">TRUE()</f>
        <v>1</v>
      </c>
    </row>
    <row r="143" customFormat="false" ht="15" hidden="false" customHeight="false" outlineLevel="0" collapsed="false">
      <c r="A143" s="6" t="n">
        <v>313808</v>
      </c>
      <c r="B143" s="6" t="s">
        <v>282</v>
      </c>
      <c r="C143" s="6" t="s">
        <v>283</v>
      </c>
      <c r="D143" s="6" t="s">
        <v>46</v>
      </c>
      <c r="E143" s="6" t="s">
        <v>35</v>
      </c>
      <c r="F143" s="6" t="n">
        <v>10.750382</v>
      </c>
      <c r="G143" s="6" t="n">
        <v>76.274757</v>
      </c>
      <c r="H143" s="6" t="n">
        <v>1</v>
      </c>
      <c r="I143" s="6" t="n">
        <v>25</v>
      </c>
      <c r="J143" s="6" t="s">
        <v>36</v>
      </c>
      <c r="K143" s="7" t="b">
        <f aca="false">FALSE()</f>
        <v>0</v>
      </c>
    </row>
    <row r="144" customFormat="false" ht="15" hidden="false" customHeight="false" outlineLevel="0" collapsed="false">
      <c r="A144" s="6" t="n">
        <v>313807</v>
      </c>
      <c r="B144" s="6" t="s">
        <v>284</v>
      </c>
      <c r="C144" s="6" t="s">
        <v>285</v>
      </c>
      <c r="D144" s="6" t="s">
        <v>46</v>
      </c>
      <c r="E144" s="6" t="s">
        <v>35</v>
      </c>
      <c r="F144" s="6" t="n">
        <v>10.804795</v>
      </c>
      <c r="G144" s="6" t="n">
        <v>76.208157</v>
      </c>
      <c r="H144" s="6" t="n">
        <v>1</v>
      </c>
      <c r="I144" s="6" t="n">
        <v>30</v>
      </c>
      <c r="J144" s="6" t="s">
        <v>36</v>
      </c>
      <c r="K144" s="7" t="b">
        <f aca="false">FALSE()</f>
        <v>0</v>
      </c>
    </row>
    <row r="145" customFormat="false" ht="15" hidden="false" customHeight="false" outlineLevel="0" collapsed="false">
      <c r="A145" s="6" t="n">
        <v>313806</v>
      </c>
      <c r="B145" s="6" t="s">
        <v>286</v>
      </c>
      <c r="C145" s="6" t="s">
        <v>285</v>
      </c>
      <c r="D145" s="6" t="s">
        <v>46</v>
      </c>
      <c r="E145" s="6" t="s">
        <v>35</v>
      </c>
      <c r="F145" s="6" t="n">
        <v>10.811069</v>
      </c>
      <c r="G145" s="6" t="n">
        <v>76.186444</v>
      </c>
      <c r="H145" s="6" t="n">
        <v>4</v>
      </c>
      <c r="I145" s="6" t="n">
        <v>30</v>
      </c>
      <c r="J145" s="6" t="s">
        <v>36</v>
      </c>
      <c r="K145" s="7" t="b">
        <f aca="false">FALSE()</f>
        <v>0</v>
      </c>
    </row>
    <row r="146" customFormat="false" ht="15" hidden="false" customHeight="false" outlineLevel="0" collapsed="false">
      <c r="A146" s="6" t="n">
        <v>313805</v>
      </c>
      <c r="B146" s="6" t="s">
        <v>287</v>
      </c>
      <c r="C146" s="6" t="s">
        <v>288</v>
      </c>
      <c r="D146" s="6" t="s">
        <v>46</v>
      </c>
      <c r="E146" s="6" t="s">
        <v>35</v>
      </c>
      <c r="F146" s="6" t="n">
        <v>10.784881</v>
      </c>
      <c r="G146" s="6" t="n">
        <v>76.170676</v>
      </c>
      <c r="H146" s="6" t="n">
        <v>1</v>
      </c>
      <c r="I146" s="6" t="n">
        <v>30</v>
      </c>
      <c r="J146" s="6" t="s">
        <v>36</v>
      </c>
      <c r="K146" s="7" t="b">
        <f aca="false">FALSE()</f>
        <v>0</v>
      </c>
    </row>
    <row r="147" customFormat="false" ht="15" hidden="false" customHeight="false" outlineLevel="0" collapsed="false">
      <c r="A147" s="6" t="n">
        <v>313804</v>
      </c>
      <c r="B147" s="6" t="s">
        <v>289</v>
      </c>
      <c r="C147" s="6" t="s">
        <v>290</v>
      </c>
      <c r="D147" s="6" t="s">
        <v>46</v>
      </c>
      <c r="E147" s="6" t="s">
        <v>35</v>
      </c>
      <c r="F147" s="6" t="n">
        <v>10.933557</v>
      </c>
      <c r="G147" s="6" t="n">
        <v>76.527217</v>
      </c>
      <c r="H147" s="6" t="n">
        <v>3</v>
      </c>
      <c r="I147" s="6" t="n">
        <v>60</v>
      </c>
      <c r="J147" s="6" t="s">
        <v>39</v>
      </c>
      <c r="K147" s="7" t="b">
        <f aca="false">TRUE()</f>
        <v>1</v>
      </c>
    </row>
    <row r="148" customFormat="false" ht="15" hidden="false" customHeight="false" outlineLevel="0" collapsed="false">
      <c r="A148" s="6" t="n">
        <v>313789</v>
      </c>
      <c r="B148" s="6" t="s">
        <v>291</v>
      </c>
      <c r="C148" s="6" t="s">
        <v>74</v>
      </c>
      <c r="D148" s="6" t="s">
        <v>46</v>
      </c>
      <c r="E148" s="6" t="s">
        <v>35</v>
      </c>
      <c r="F148" s="6" t="n">
        <v>10.965297</v>
      </c>
      <c r="G148" s="6" t="n">
        <v>76.283898</v>
      </c>
      <c r="H148" s="6" t="n">
        <v>2</v>
      </c>
      <c r="I148" s="6" t="n">
        <v>25</v>
      </c>
      <c r="J148" s="6" t="s">
        <v>36</v>
      </c>
      <c r="K148" s="7" t="b">
        <f aca="false">FALSE()</f>
        <v>0</v>
      </c>
    </row>
    <row r="149" customFormat="false" ht="15" hidden="false" customHeight="false" outlineLevel="0" collapsed="false">
      <c r="A149" s="6" t="n">
        <v>313788</v>
      </c>
      <c r="B149" s="6" t="s">
        <v>292</v>
      </c>
      <c r="C149" s="6" t="s">
        <v>77</v>
      </c>
      <c r="D149" s="6" t="s">
        <v>46</v>
      </c>
      <c r="E149" s="6" t="s">
        <v>35</v>
      </c>
      <c r="F149" s="6" t="n">
        <v>10.873413</v>
      </c>
      <c r="G149" s="6" t="n">
        <v>76.062458</v>
      </c>
      <c r="H149" s="6" t="n">
        <v>3</v>
      </c>
      <c r="I149" s="6" t="n">
        <v>60</v>
      </c>
      <c r="J149" s="6" t="s">
        <v>39</v>
      </c>
      <c r="K149" s="7" t="b">
        <f aca="false">TRUE()</f>
        <v>1</v>
      </c>
    </row>
    <row r="150" customFormat="false" ht="15" hidden="false" customHeight="false" outlineLevel="0" collapsed="false">
      <c r="A150" s="6" t="n">
        <v>313787</v>
      </c>
      <c r="B150" s="6" t="s">
        <v>293</v>
      </c>
      <c r="C150" s="6" t="s">
        <v>294</v>
      </c>
      <c r="D150" s="6" t="s">
        <v>46</v>
      </c>
      <c r="E150" s="6" t="s">
        <v>35</v>
      </c>
      <c r="F150" s="6" t="n">
        <v>10.809947</v>
      </c>
      <c r="G150" s="6" t="n">
        <v>76.008734</v>
      </c>
      <c r="H150" s="6" t="n">
        <v>1</v>
      </c>
      <c r="I150" s="6" t="n">
        <v>30</v>
      </c>
      <c r="J150" s="6" t="s">
        <v>36</v>
      </c>
      <c r="K150" s="7" t="b">
        <f aca="false">FALSE()</f>
        <v>0</v>
      </c>
    </row>
    <row r="151" customFormat="false" ht="15" hidden="false" customHeight="false" outlineLevel="0" collapsed="false">
      <c r="A151" s="6" t="n">
        <v>313786</v>
      </c>
      <c r="B151" s="6" t="s">
        <v>295</v>
      </c>
      <c r="C151" s="6" t="s">
        <v>296</v>
      </c>
      <c r="D151" s="6" t="s">
        <v>46</v>
      </c>
      <c r="E151" s="6" t="s">
        <v>35</v>
      </c>
      <c r="F151" s="6" t="n">
        <v>11.139596</v>
      </c>
      <c r="G151" s="6" t="n">
        <v>76.236113</v>
      </c>
      <c r="H151" s="6" t="n">
        <v>1</v>
      </c>
      <c r="I151" s="6" t="n">
        <v>60</v>
      </c>
      <c r="J151" s="6" t="s">
        <v>39</v>
      </c>
      <c r="K151" s="7" t="b">
        <f aca="false">TRUE()</f>
        <v>1</v>
      </c>
    </row>
    <row r="152" customFormat="false" ht="15" hidden="false" customHeight="false" outlineLevel="0" collapsed="false">
      <c r="A152" s="6" t="n">
        <v>313785</v>
      </c>
      <c r="B152" s="6" t="s">
        <v>297</v>
      </c>
      <c r="C152" s="6" t="s">
        <v>298</v>
      </c>
      <c r="D152" s="6" t="s">
        <v>46</v>
      </c>
      <c r="E152" s="6" t="s">
        <v>35</v>
      </c>
      <c r="F152" s="6" t="n">
        <v>11.288049</v>
      </c>
      <c r="G152" s="6" t="n">
        <v>76.297982</v>
      </c>
      <c r="H152" s="6" t="n">
        <v>1</v>
      </c>
      <c r="I152" s="6" t="n">
        <v>30</v>
      </c>
      <c r="J152" s="6" t="s">
        <v>36</v>
      </c>
      <c r="K152" s="7" t="b">
        <f aca="false">FALSE()</f>
        <v>0</v>
      </c>
    </row>
    <row r="153" customFormat="false" ht="15" hidden="false" customHeight="false" outlineLevel="0" collapsed="false">
      <c r="A153" s="6" t="n">
        <v>313784</v>
      </c>
      <c r="B153" s="6" t="s">
        <v>299</v>
      </c>
      <c r="C153" s="6" t="s">
        <v>300</v>
      </c>
      <c r="D153" s="6" t="s">
        <v>46</v>
      </c>
      <c r="E153" s="6" t="s">
        <v>35</v>
      </c>
      <c r="F153" s="6" t="n">
        <v>11.286681</v>
      </c>
      <c r="G153" s="6" t="n">
        <v>76.239264</v>
      </c>
      <c r="H153" s="6" t="n">
        <v>1</v>
      </c>
      <c r="I153" s="6" t="n">
        <v>25</v>
      </c>
      <c r="J153" s="6" t="s">
        <v>36</v>
      </c>
      <c r="K153" s="7" t="b">
        <f aca="false">FALSE()</f>
        <v>0</v>
      </c>
    </row>
    <row r="154" customFormat="false" ht="15" hidden="false" customHeight="false" outlineLevel="0" collapsed="false">
      <c r="A154" s="6" t="n">
        <v>313783</v>
      </c>
      <c r="B154" s="6" t="s">
        <v>301</v>
      </c>
      <c r="C154" s="6" t="s">
        <v>300</v>
      </c>
      <c r="D154" s="6" t="s">
        <v>46</v>
      </c>
      <c r="E154" s="6" t="s">
        <v>35</v>
      </c>
      <c r="F154" s="6" t="n">
        <v>11.253647</v>
      </c>
      <c r="G154" s="6" t="n">
        <v>76.201901</v>
      </c>
      <c r="H154" s="6" t="n">
        <v>1</v>
      </c>
      <c r="I154" s="6" t="n">
        <v>30</v>
      </c>
      <c r="J154" s="6" t="s">
        <v>36</v>
      </c>
      <c r="K154" s="7" t="b">
        <f aca="false">FALSE()</f>
        <v>0</v>
      </c>
    </row>
    <row r="155" customFormat="false" ht="15" hidden="false" customHeight="false" outlineLevel="0" collapsed="false">
      <c r="A155" s="6" t="n">
        <v>313782</v>
      </c>
      <c r="B155" s="6" t="s">
        <v>302</v>
      </c>
      <c r="C155" s="6" t="s">
        <v>84</v>
      </c>
      <c r="D155" s="6" t="s">
        <v>46</v>
      </c>
      <c r="E155" s="6" t="s">
        <v>35</v>
      </c>
      <c r="F155" s="6" t="n">
        <v>11.128916</v>
      </c>
      <c r="G155" s="6" t="n">
        <v>76.115395</v>
      </c>
      <c r="H155" s="6" t="n">
        <v>3</v>
      </c>
      <c r="I155" s="6" t="n">
        <v>60</v>
      </c>
      <c r="J155" s="6" t="s">
        <v>39</v>
      </c>
      <c r="K155" s="7" t="b">
        <f aca="false">TRUE()</f>
        <v>1</v>
      </c>
    </row>
    <row r="156" customFormat="false" ht="15" hidden="false" customHeight="false" outlineLevel="0" collapsed="false">
      <c r="A156" s="6" t="n">
        <v>313781</v>
      </c>
      <c r="B156" s="6" t="s">
        <v>303</v>
      </c>
      <c r="C156" s="6" t="s">
        <v>81</v>
      </c>
      <c r="D156" s="6" t="s">
        <v>46</v>
      </c>
      <c r="E156" s="6" t="s">
        <v>35</v>
      </c>
      <c r="F156" s="6" t="n">
        <v>11.043181</v>
      </c>
      <c r="G156" s="6" t="n">
        <v>76.084302</v>
      </c>
      <c r="H156" s="6" t="n">
        <v>1</v>
      </c>
      <c r="I156" s="6" t="n">
        <v>25</v>
      </c>
      <c r="J156" s="6" t="s">
        <v>36</v>
      </c>
      <c r="K156" s="7" t="b">
        <f aca="false">FALSE()</f>
        <v>0</v>
      </c>
    </row>
    <row r="157" customFormat="false" ht="15" hidden="false" customHeight="false" outlineLevel="0" collapsed="false">
      <c r="A157" s="6" t="n">
        <v>313780</v>
      </c>
      <c r="B157" s="6" t="s">
        <v>304</v>
      </c>
      <c r="C157" s="6" t="s">
        <v>305</v>
      </c>
      <c r="D157" s="6" t="s">
        <v>46</v>
      </c>
      <c r="E157" s="6" t="s">
        <v>35</v>
      </c>
      <c r="F157" s="6" t="n">
        <v>11.021175</v>
      </c>
      <c r="G157" s="6" t="n">
        <v>75.948126</v>
      </c>
      <c r="H157" s="6" t="n">
        <v>1</v>
      </c>
      <c r="I157" s="6" t="n">
        <v>30</v>
      </c>
      <c r="J157" s="6" t="s">
        <v>36</v>
      </c>
      <c r="K157" s="7" t="b">
        <f aca="false">FALSE()</f>
        <v>0</v>
      </c>
    </row>
    <row r="158" customFormat="false" ht="15" hidden="false" customHeight="false" outlineLevel="0" collapsed="false">
      <c r="A158" s="6" t="n">
        <v>313779</v>
      </c>
      <c r="B158" s="6" t="s">
        <v>306</v>
      </c>
      <c r="C158" s="6" t="s">
        <v>81</v>
      </c>
      <c r="D158" s="6" t="s">
        <v>46</v>
      </c>
      <c r="E158" s="6" t="s">
        <v>35</v>
      </c>
      <c r="F158" s="6" t="n">
        <v>11.078417</v>
      </c>
      <c r="G158" s="6" t="n">
        <v>75.902764</v>
      </c>
      <c r="H158" s="6" t="n">
        <v>1</v>
      </c>
      <c r="I158" s="6" t="n">
        <v>30</v>
      </c>
      <c r="J158" s="6" t="s">
        <v>36</v>
      </c>
      <c r="K158" s="7" t="b">
        <f aca="false">FALSE()</f>
        <v>0</v>
      </c>
    </row>
    <row r="159" customFormat="false" ht="15" hidden="false" customHeight="false" outlineLevel="0" collapsed="false">
      <c r="A159" s="6" t="n">
        <v>313778</v>
      </c>
      <c r="B159" s="6" t="s">
        <v>307</v>
      </c>
      <c r="C159" s="6" t="s">
        <v>93</v>
      </c>
      <c r="D159" s="6" t="s">
        <v>46</v>
      </c>
      <c r="E159" s="6" t="s">
        <v>35</v>
      </c>
      <c r="F159" s="6" t="n">
        <v>11.234737</v>
      </c>
      <c r="G159" s="6" t="n">
        <v>75.846707</v>
      </c>
      <c r="H159" s="6" t="n">
        <v>2</v>
      </c>
      <c r="I159" s="6" t="n">
        <v>60</v>
      </c>
      <c r="J159" s="6" t="s">
        <v>39</v>
      </c>
      <c r="K159" s="7" t="b">
        <f aca="false">TRUE()</f>
        <v>1</v>
      </c>
    </row>
    <row r="160" customFormat="false" ht="15" hidden="false" customHeight="false" outlineLevel="0" collapsed="false">
      <c r="A160" s="6" t="n">
        <v>313777</v>
      </c>
      <c r="B160" s="6" t="s">
        <v>308</v>
      </c>
      <c r="C160" s="6" t="s">
        <v>309</v>
      </c>
      <c r="D160" s="6" t="s">
        <v>46</v>
      </c>
      <c r="E160" s="6" t="s">
        <v>35</v>
      </c>
      <c r="F160" s="6" t="n">
        <v>11.670802</v>
      </c>
      <c r="G160" s="6" t="n">
        <v>76.36102</v>
      </c>
      <c r="H160" s="6" t="n">
        <v>1</v>
      </c>
      <c r="I160" s="6" t="n">
        <v>30</v>
      </c>
      <c r="J160" s="6" t="s">
        <v>36</v>
      </c>
      <c r="K160" s="7" t="b">
        <f aca="false">FALSE()</f>
        <v>0</v>
      </c>
    </row>
    <row r="161" customFormat="false" ht="15" hidden="false" customHeight="false" outlineLevel="0" collapsed="false">
      <c r="A161" s="6" t="n">
        <v>313776</v>
      </c>
      <c r="B161" s="6" t="s">
        <v>310</v>
      </c>
      <c r="C161" s="6" t="s">
        <v>107</v>
      </c>
      <c r="D161" s="6" t="s">
        <v>46</v>
      </c>
      <c r="E161" s="6" t="s">
        <v>35</v>
      </c>
      <c r="F161" s="6" t="n">
        <v>11.597777</v>
      </c>
      <c r="G161" s="6" t="n">
        <v>76.080138</v>
      </c>
      <c r="H161" s="6" t="n">
        <v>1</v>
      </c>
      <c r="I161" s="6" t="n">
        <v>25</v>
      </c>
      <c r="J161" s="6" t="s">
        <v>36</v>
      </c>
      <c r="K161" s="7" t="b">
        <f aca="false">FALSE()</f>
        <v>0</v>
      </c>
    </row>
    <row r="162" customFormat="false" ht="15" hidden="false" customHeight="false" outlineLevel="0" collapsed="false">
      <c r="A162" s="6" t="n">
        <v>313775</v>
      </c>
      <c r="B162" s="6" t="s">
        <v>311</v>
      </c>
      <c r="C162" s="6" t="s">
        <v>312</v>
      </c>
      <c r="D162" s="6" t="s">
        <v>46</v>
      </c>
      <c r="E162" s="6" t="s">
        <v>35</v>
      </c>
      <c r="F162" s="6" t="n">
        <v>11.518344</v>
      </c>
      <c r="G162" s="6" t="n">
        <v>76.021256</v>
      </c>
      <c r="H162" s="6" t="n">
        <v>1</v>
      </c>
      <c r="I162" s="6" t="n">
        <v>30</v>
      </c>
      <c r="J162" s="6" t="s">
        <v>36</v>
      </c>
      <c r="K162" s="7" t="b">
        <f aca="false">FALSE()</f>
        <v>0</v>
      </c>
    </row>
    <row r="163" customFormat="false" ht="15" hidden="false" customHeight="false" outlineLevel="0" collapsed="false">
      <c r="A163" s="6" t="n">
        <v>313774</v>
      </c>
      <c r="B163" s="6" t="s">
        <v>313</v>
      </c>
      <c r="C163" s="6" t="s">
        <v>314</v>
      </c>
      <c r="D163" s="6" t="s">
        <v>46</v>
      </c>
      <c r="E163" s="6" t="s">
        <v>35</v>
      </c>
      <c r="F163" s="6" t="n">
        <v>11.319727</v>
      </c>
      <c r="G163" s="6" t="n">
        <v>75.995517</v>
      </c>
      <c r="H163" s="6" t="n">
        <v>2</v>
      </c>
      <c r="I163" s="6" t="n">
        <v>60</v>
      </c>
      <c r="J163" s="6" t="s">
        <v>39</v>
      </c>
      <c r="K163" s="7" t="b">
        <f aca="false">TRUE()</f>
        <v>1</v>
      </c>
    </row>
    <row r="164" customFormat="false" ht="15" hidden="false" customHeight="false" outlineLevel="0" collapsed="false">
      <c r="A164" s="6" t="n">
        <v>313773</v>
      </c>
      <c r="B164" s="6" t="s">
        <v>315</v>
      </c>
      <c r="C164" s="6" t="s">
        <v>316</v>
      </c>
      <c r="D164" s="6" t="s">
        <v>46</v>
      </c>
      <c r="E164" s="6" t="s">
        <v>35</v>
      </c>
      <c r="F164" s="6" t="n">
        <v>11.404693</v>
      </c>
      <c r="G164" s="6" t="n">
        <v>75.929568</v>
      </c>
      <c r="H164" s="6" t="n">
        <v>1</v>
      </c>
      <c r="I164" s="6" t="n">
        <v>25</v>
      </c>
      <c r="J164" s="6" t="s">
        <v>36</v>
      </c>
      <c r="K164" s="7" t="b">
        <f aca="false">FALSE()</f>
        <v>0</v>
      </c>
    </row>
    <row r="165" customFormat="false" ht="15" hidden="false" customHeight="false" outlineLevel="0" collapsed="false">
      <c r="A165" s="6" t="n">
        <v>313763</v>
      </c>
      <c r="B165" s="6" t="s">
        <v>317</v>
      </c>
      <c r="C165" s="6" t="s">
        <v>93</v>
      </c>
      <c r="D165" s="6" t="s">
        <v>46</v>
      </c>
      <c r="E165" s="6" t="s">
        <v>35</v>
      </c>
      <c r="F165" s="6" t="n">
        <v>11.258801</v>
      </c>
      <c r="G165" s="6" t="n">
        <v>75.808904</v>
      </c>
      <c r="H165" s="6" t="n">
        <v>4</v>
      </c>
      <c r="I165" s="6" t="n">
        <v>30</v>
      </c>
      <c r="J165" s="6" t="s">
        <v>36</v>
      </c>
      <c r="K165" s="7" t="b">
        <f aca="false">FALSE()</f>
        <v>0</v>
      </c>
    </row>
    <row r="166" customFormat="false" ht="15" hidden="false" customHeight="false" outlineLevel="0" collapsed="false">
      <c r="A166" s="6" t="n">
        <v>313762</v>
      </c>
      <c r="B166" s="6" t="s">
        <v>318</v>
      </c>
      <c r="C166" s="6" t="s">
        <v>93</v>
      </c>
      <c r="D166" s="6" t="s">
        <v>46</v>
      </c>
      <c r="E166" s="6" t="s">
        <v>35</v>
      </c>
      <c r="F166" s="6" t="n">
        <v>11.257862</v>
      </c>
      <c r="G166" s="6" t="n">
        <v>75.780231</v>
      </c>
      <c r="H166" s="6" t="n">
        <v>4</v>
      </c>
      <c r="I166" s="6" t="n">
        <v>30</v>
      </c>
      <c r="J166" s="6" t="s">
        <v>36</v>
      </c>
      <c r="K166" s="7" t="b">
        <f aca="false">FALSE()</f>
        <v>0</v>
      </c>
    </row>
    <row r="167" customFormat="false" ht="15" hidden="false" customHeight="false" outlineLevel="0" collapsed="false">
      <c r="A167" s="6" t="n">
        <v>313761</v>
      </c>
      <c r="B167" s="6" t="s">
        <v>319</v>
      </c>
      <c r="C167" s="6" t="s">
        <v>119</v>
      </c>
      <c r="D167" s="6" t="s">
        <v>46</v>
      </c>
      <c r="E167" s="6" t="s">
        <v>35</v>
      </c>
      <c r="F167" s="6" t="n">
        <v>11.92756</v>
      </c>
      <c r="G167" s="6" t="n">
        <v>75.500473</v>
      </c>
      <c r="H167" s="6" t="n">
        <v>1</v>
      </c>
      <c r="I167" s="6" t="n">
        <v>7</v>
      </c>
      <c r="J167" s="6" t="s">
        <v>126</v>
      </c>
      <c r="K167" s="7" t="b">
        <f aca="false">FALSE()</f>
        <v>0</v>
      </c>
    </row>
    <row r="168" customFormat="false" ht="15" hidden="false" customHeight="false" outlineLevel="0" collapsed="false">
      <c r="A168" s="6" t="n">
        <v>313760</v>
      </c>
      <c r="B168" s="6" t="s">
        <v>320</v>
      </c>
      <c r="C168" s="6" t="s">
        <v>321</v>
      </c>
      <c r="D168" s="6" t="s">
        <v>46</v>
      </c>
      <c r="E168" s="6" t="s">
        <v>35</v>
      </c>
      <c r="F168" s="6" t="n">
        <v>11.825802</v>
      </c>
      <c r="G168" s="6" t="n">
        <v>75.508957</v>
      </c>
      <c r="H168" s="6" t="n">
        <v>1</v>
      </c>
      <c r="I168" s="6" t="n">
        <v>30</v>
      </c>
      <c r="J168" s="6" t="s">
        <v>36</v>
      </c>
      <c r="K168" s="7" t="b">
        <f aca="false">FALSE()</f>
        <v>0</v>
      </c>
    </row>
    <row r="169" customFormat="false" ht="15" hidden="false" customHeight="false" outlineLevel="0" collapsed="false">
      <c r="A169" s="6" t="n">
        <v>313759</v>
      </c>
      <c r="B169" s="6" t="s">
        <v>322</v>
      </c>
      <c r="C169" s="6" t="s">
        <v>323</v>
      </c>
      <c r="D169" s="6" t="s">
        <v>46</v>
      </c>
      <c r="E169" s="6" t="s">
        <v>35</v>
      </c>
      <c r="F169" s="6" t="n">
        <v>11.871664</v>
      </c>
      <c r="G169" s="6" t="n">
        <v>75.395986</v>
      </c>
      <c r="H169" s="6" t="n">
        <v>1</v>
      </c>
      <c r="I169" s="6" t="n">
        <v>30</v>
      </c>
      <c r="J169" s="6" t="s">
        <v>36</v>
      </c>
      <c r="K169" s="7" t="b">
        <f aca="false">FALSE()</f>
        <v>0</v>
      </c>
    </row>
    <row r="170" customFormat="false" ht="15" hidden="false" customHeight="false" outlineLevel="0" collapsed="false">
      <c r="A170" s="6" t="n">
        <v>313758</v>
      </c>
      <c r="B170" s="6" t="s">
        <v>324</v>
      </c>
      <c r="C170" s="6" t="s">
        <v>119</v>
      </c>
      <c r="D170" s="6" t="s">
        <v>46</v>
      </c>
      <c r="E170" s="6" t="s">
        <v>35</v>
      </c>
      <c r="F170" s="6" t="n">
        <v>11.880201</v>
      </c>
      <c r="G170" s="6" t="n">
        <v>75.374665</v>
      </c>
      <c r="H170" s="6" t="n">
        <v>2</v>
      </c>
      <c r="I170" s="6" t="n">
        <v>60</v>
      </c>
      <c r="J170" s="6" t="s">
        <v>39</v>
      </c>
      <c r="K170" s="7" t="b">
        <f aca="false">TRUE()</f>
        <v>1</v>
      </c>
    </row>
    <row r="171" customFormat="false" ht="15" hidden="false" customHeight="false" outlineLevel="0" collapsed="false">
      <c r="A171" s="6" t="n">
        <v>313757</v>
      </c>
      <c r="B171" s="6" t="s">
        <v>325</v>
      </c>
      <c r="C171" s="6" t="s">
        <v>123</v>
      </c>
      <c r="D171" s="6" t="s">
        <v>46</v>
      </c>
      <c r="E171" s="6" t="s">
        <v>35</v>
      </c>
      <c r="F171" s="6" t="n">
        <v>12.088638</v>
      </c>
      <c r="G171" s="6" t="n">
        <v>75.252646</v>
      </c>
      <c r="H171" s="6" t="n">
        <v>2</v>
      </c>
      <c r="I171" s="6" t="n">
        <v>30</v>
      </c>
      <c r="J171" s="6" t="s">
        <v>36</v>
      </c>
      <c r="K171" s="7" t="b">
        <f aca="false">FALSE()</f>
        <v>0</v>
      </c>
    </row>
    <row r="172" customFormat="false" ht="15" hidden="false" customHeight="false" outlineLevel="0" collapsed="false">
      <c r="A172" s="6" t="n">
        <v>313756</v>
      </c>
      <c r="B172" s="6" t="s">
        <v>326</v>
      </c>
      <c r="C172" s="6" t="s">
        <v>327</v>
      </c>
      <c r="D172" s="6" t="s">
        <v>46</v>
      </c>
      <c r="E172" s="6" t="s">
        <v>35</v>
      </c>
      <c r="F172" s="6" t="n">
        <v>12.405805</v>
      </c>
      <c r="G172" s="6" t="n">
        <v>75.096298</v>
      </c>
      <c r="H172" s="6" t="n">
        <v>1</v>
      </c>
      <c r="I172" s="6" t="n">
        <v>30</v>
      </c>
      <c r="J172" s="6" t="s">
        <v>36</v>
      </c>
      <c r="K172" s="7" t="b">
        <f aca="false">FALSE()</f>
        <v>0</v>
      </c>
    </row>
    <row r="173" customFormat="false" ht="15" hidden="false" customHeight="false" outlineLevel="0" collapsed="false">
      <c r="A173" s="6" t="n">
        <v>313755</v>
      </c>
      <c r="B173" s="6" t="s">
        <v>328</v>
      </c>
      <c r="C173" s="6" t="s">
        <v>128</v>
      </c>
      <c r="D173" s="6" t="s">
        <v>46</v>
      </c>
      <c r="E173" s="6" t="s">
        <v>35</v>
      </c>
      <c r="F173" s="6" t="n">
        <v>12.505974</v>
      </c>
      <c r="G173" s="6" t="n">
        <v>74.986781</v>
      </c>
      <c r="H173" s="6" t="n">
        <v>1</v>
      </c>
      <c r="I173" s="6" t="n">
        <v>30</v>
      </c>
      <c r="J173" s="6" t="s">
        <v>36</v>
      </c>
      <c r="K173" s="7" t="b">
        <f aca="false">FALSE()</f>
        <v>0</v>
      </c>
    </row>
    <row r="174" customFormat="false" ht="15" hidden="false" customHeight="false" outlineLevel="0" collapsed="false">
      <c r="A174" s="6" t="n">
        <v>313754</v>
      </c>
      <c r="B174" s="6" t="s">
        <v>329</v>
      </c>
      <c r="C174" s="6" t="s">
        <v>330</v>
      </c>
      <c r="D174" s="6" t="s">
        <v>46</v>
      </c>
      <c r="E174" s="6" t="s">
        <v>35</v>
      </c>
      <c r="F174" s="6" t="n">
        <v>12.342505</v>
      </c>
      <c r="G174" s="6" t="n">
        <v>75.112664</v>
      </c>
      <c r="H174" s="6" t="n">
        <v>7</v>
      </c>
      <c r="I174" s="6" t="n">
        <v>30</v>
      </c>
      <c r="J174" s="6" t="s">
        <v>36</v>
      </c>
      <c r="K174" s="7" t="b">
        <f aca="false">FALSE()</f>
        <v>0</v>
      </c>
    </row>
    <row r="175" customFormat="false" ht="15" hidden="false" customHeight="false" outlineLevel="0" collapsed="false">
      <c r="A175" s="6" t="n">
        <v>313753</v>
      </c>
      <c r="B175" s="6" t="s">
        <v>331</v>
      </c>
      <c r="C175" s="6" t="s">
        <v>332</v>
      </c>
      <c r="D175" s="6" t="s">
        <v>46</v>
      </c>
      <c r="E175" s="6" t="s">
        <v>35</v>
      </c>
      <c r="F175" s="6" t="n">
        <v>12.2272</v>
      </c>
      <c r="G175" s="6" t="n">
        <v>75.15912</v>
      </c>
      <c r="H175" s="6" t="n">
        <v>3</v>
      </c>
      <c r="I175" s="6" t="n">
        <v>60</v>
      </c>
      <c r="J175" s="6" t="s">
        <v>39</v>
      </c>
      <c r="K175" s="7" t="b">
        <f aca="false">TRUE()</f>
        <v>1</v>
      </c>
    </row>
    <row r="176" customFormat="false" ht="15" hidden="false" customHeight="false" outlineLevel="0" collapsed="false">
      <c r="A176" s="6" t="n">
        <v>313752</v>
      </c>
      <c r="B176" s="6" t="s">
        <v>333</v>
      </c>
      <c r="C176" s="6" t="s">
        <v>334</v>
      </c>
      <c r="D176" s="6" t="s">
        <v>46</v>
      </c>
      <c r="E176" s="6" t="s">
        <v>35</v>
      </c>
      <c r="F176" s="6" t="n">
        <v>12.17697</v>
      </c>
      <c r="G176" s="6" t="n">
        <v>75.246756</v>
      </c>
      <c r="H176" s="6" t="n">
        <v>3</v>
      </c>
      <c r="I176" s="6" t="n">
        <v>30</v>
      </c>
      <c r="J176" s="6" t="s">
        <v>36</v>
      </c>
      <c r="K176" s="7" t="b">
        <f aca="false">FALSE()</f>
        <v>0</v>
      </c>
    </row>
    <row r="177" customFormat="false" ht="15" hidden="false" customHeight="false" outlineLevel="0" collapsed="false">
      <c r="A177" s="6" t="n">
        <v>313751</v>
      </c>
      <c r="B177" s="6" t="s">
        <v>335</v>
      </c>
      <c r="C177" s="6" t="s">
        <v>123</v>
      </c>
      <c r="D177" s="6" t="s">
        <v>46</v>
      </c>
      <c r="E177" s="6" t="s">
        <v>35</v>
      </c>
      <c r="F177" s="6" t="n">
        <v>12.207766</v>
      </c>
      <c r="G177" s="6" t="n">
        <v>75.279452</v>
      </c>
      <c r="H177" s="6" t="n">
        <v>2</v>
      </c>
      <c r="I177" s="6" t="n">
        <v>25</v>
      </c>
      <c r="J177" s="6" t="s">
        <v>36</v>
      </c>
      <c r="K177" s="7" t="b">
        <f aca="false">FALSE()</f>
        <v>0</v>
      </c>
    </row>
    <row r="178" customFormat="false" ht="15" hidden="false" customHeight="false" outlineLevel="0" collapsed="false">
      <c r="A178" s="6" t="n">
        <v>313750</v>
      </c>
      <c r="B178" s="6" t="s">
        <v>336</v>
      </c>
      <c r="C178" s="6" t="s">
        <v>337</v>
      </c>
      <c r="D178" s="6" t="s">
        <v>46</v>
      </c>
      <c r="E178" s="6" t="s">
        <v>35</v>
      </c>
      <c r="F178" s="6" t="n">
        <v>11.997449</v>
      </c>
      <c r="G178" s="6" t="n">
        <v>75.370908</v>
      </c>
      <c r="H178" s="6" t="n">
        <v>2</v>
      </c>
      <c r="I178" s="6" t="n">
        <v>30</v>
      </c>
      <c r="J178" s="6" t="s">
        <v>36</v>
      </c>
      <c r="K178" s="7" t="b">
        <f aca="false">FALSE()</f>
        <v>0</v>
      </c>
    </row>
    <row r="179" customFormat="false" ht="15" hidden="false" customHeight="false" outlineLevel="0" collapsed="false">
      <c r="A179" s="6" t="n">
        <v>313749</v>
      </c>
      <c r="B179" s="6" t="s">
        <v>338</v>
      </c>
      <c r="C179" s="6" t="s">
        <v>119</v>
      </c>
      <c r="D179" s="6" t="s">
        <v>46</v>
      </c>
      <c r="E179" s="6" t="s">
        <v>35</v>
      </c>
      <c r="F179" s="6" t="n">
        <v>11.878368</v>
      </c>
      <c r="G179" s="6" t="n">
        <v>75.359526</v>
      </c>
      <c r="H179" s="6" t="n">
        <v>6</v>
      </c>
      <c r="I179" s="6" t="n">
        <v>30</v>
      </c>
      <c r="J179" s="6" t="s">
        <v>36</v>
      </c>
      <c r="K179" s="7" t="b">
        <f aca="false">FALSE()</f>
        <v>0</v>
      </c>
    </row>
    <row r="180" customFormat="false" ht="15" hidden="false" customHeight="false" outlineLevel="0" collapsed="false">
      <c r="A180" s="6" t="n">
        <v>313748</v>
      </c>
      <c r="B180" s="6" t="s">
        <v>339</v>
      </c>
      <c r="C180" s="6" t="s">
        <v>340</v>
      </c>
      <c r="D180" s="6" t="s">
        <v>46</v>
      </c>
      <c r="E180" s="6" t="s">
        <v>35</v>
      </c>
      <c r="F180" s="6" t="n">
        <v>10.087379</v>
      </c>
      <c r="G180" s="6" t="n">
        <v>77.0617</v>
      </c>
      <c r="H180" s="6" t="n">
        <v>3</v>
      </c>
      <c r="I180" s="6" t="n">
        <v>30</v>
      </c>
      <c r="J180" s="6" t="s">
        <v>36</v>
      </c>
      <c r="K180" s="7" t="b">
        <f aca="false">FALSE()</f>
        <v>0</v>
      </c>
    </row>
    <row r="181" customFormat="false" ht="15" hidden="false" customHeight="false" outlineLevel="0" collapsed="false">
      <c r="A181" s="6" t="n">
        <v>313747</v>
      </c>
      <c r="B181" s="6" t="s">
        <v>341</v>
      </c>
      <c r="C181" s="6" t="s">
        <v>115</v>
      </c>
      <c r="D181" s="6" t="s">
        <v>46</v>
      </c>
      <c r="E181" s="6" t="s">
        <v>35</v>
      </c>
      <c r="F181" s="6" t="n">
        <v>11.985562</v>
      </c>
      <c r="G181" s="6" t="n">
        <v>75.676182</v>
      </c>
      <c r="H181" s="6" t="n">
        <v>1</v>
      </c>
      <c r="I181" s="6" t="n">
        <v>30</v>
      </c>
      <c r="J181" s="6" t="s">
        <v>36</v>
      </c>
      <c r="K181" s="7" t="b">
        <f aca="false">FALSE()</f>
        <v>0</v>
      </c>
    </row>
    <row r="182" customFormat="false" ht="15" hidden="false" customHeight="false" outlineLevel="0" collapsed="false">
      <c r="A182" s="6" t="n">
        <v>313746</v>
      </c>
      <c r="B182" s="6" t="s">
        <v>342</v>
      </c>
      <c r="C182" s="6" t="s">
        <v>343</v>
      </c>
      <c r="D182" s="6" t="s">
        <v>46</v>
      </c>
      <c r="E182" s="6" t="s">
        <v>35</v>
      </c>
      <c r="F182" s="6" t="n">
        <v>11.754867</v>
      </c>
      <c r="G182" s="6" t="n">
        <v>75.578065</v>
      </c>
      <c r="H182" s="6" t="n">
        <v>1</v>
      </c>
      <c r="I182" s="6" t="n">
        <v>30</v>
      </c>
      <c r="J182" s="6" t="s">
        <v>36</v>
      </c>
      <c r="K182" s="7" t="b">
        <f aca="false">FALSE()</f>
        <v>0</v>
      </c>
    </row>
    <row r="183" customFormat="false" ht="15" hidden="false" customHeight="false" outlineLevel="0" collapsed="false">
      <c r="A183" s="6" t="n">
        <v>313745</v>
      </c>
      <c r="B183" s="6" t="s">
        <v>344</v>
      </c>
      <c r="C183" s="6" t="s">
        <v>345</v>
      </c>
      <c r="D183" s="6" t="s">
        <v>46</v>
      </c>
      <c r="E183" s="6" t="s">
        <v>35</v>
      </c>
      <c r="F183" s="6" t="n">
        <v>11.520445</v>
      </c>
      <c r="G183" s="6" t="n">
        <v>75.617988</v>
      </c>
      <c r="H183" s="6" t="n">
        <v>1</v>
      </c>
      <c r="I183" s="6" t="n">
        <v>60</v>
      </c>
      <c r="J183" s="6" t="s">
        <v>39</v>
      </c>
      <c r="K183" s="7" t="b">
        <f aca="false">TRUE()</f>
        <v>1</v>
      </c>
    </row>
    <row r="184" customFormat="false" ht="15" hidden="false" customHeight="false" outlineLevel="0" collapsed="false">
      <c r="A184" s="6" t="n">
        <v>313744</v>
      </c>
      <c r="B184" s="6" t="s">
        <v>346</v>
      </c>
      <c r="C184" s="6" t="s">
        <v>347</v>
      </c>
      <c r="D184" s="6" t="s">
        <v>46</v>
      </c>
      <c r="E184" s="6" t="s">
        <v>35</v>
      </c>
      <c r="F184" s="6" t="n">
        <v>11.648901</v>
      </c>
      <c r="G184" s="6" t="n">
        <v>75.755936</v>
      </c>
      <c r="H184" s="6" t="n">
        <v>1</v>
      </c>
      <c r="I184" s="6" t="n">
        <v>30</v>
      </c>
      <c r="J184" s="6" t="s">
        <v>36</v>
      </c>
      <c r="K184" s="7" t="b">
        <f aca="false">FALSE()</f>
        <v>0</v>
      </c>
    </row>
    <row r="185" customFormat="false" ht="15" hidden="false" customHeight="false" outlineLevel="0" collapsed="false">
      <c r="A185" s="6" t="n">
        <v>313743</v>
      </c>
      <c r="B185" s="6" t="s">
        <v>348</v>
      </c>
      <c r="C185" s="6" t="s">
        <v>109</v>
      </c>
      <c r="D185" s="6" t="s">
        <v>46</v>
      </c>
      <c r="E185" s="6" t="s">
        <v>35</v>
      </c>
      <c r="F185" s="6" t="n">
        <v>11.672924</v>
      </c>
      <c r="G185" s="6" t="n">
        <v>75.957306</v>
      </c>
      <c r="H185" s="6" t="n">
        <v>6</v>
      </c>
      <c r="I185" s="6" t="n">
        <v>30</v>
      </c>
      <c r="J185" s="6" t="s">
        <v>36</v>
      </c>
      <c r="K185" s="7" t="b">
        <f aca="false">FALSE()</f>
        <v>0</v>
      </c>
    </row>
    <row r="186" customFormat="false" ht="15" hidden="false" customHeight="false" outlineLevel="0" collapsed="false">
      <c r="A186" s="6" t="n">
        <v>313742</v>
      </c>
      <c r="B186" s="6" t="s">
        <v>349</v>
      </c>
      <c r="C186" s="6" t="s">
        <v>350</v>
      </c>
      <c r="D186" s="6" t="s">
        <v>46</v>
      </c>
      <c r="E186" s="6" t="s">
        <v>35</v>
      </c>
      <c r="F186" s="6" t="n">
        <v>11.736405</v>
      </c>
      <c r="G186" s="6" t="n">
        <v>75.986744</v>
      </c>
      <c r="H186" s="6" t="n">
        <v>2</v>
      </c>
      <c r="I186" s="6" t="n">
        <v>60</v>
      </c>
      <c r="J186" s="6" t="s">
        <v>39</v>
      </c>
      <c r="K186" s="7" t="b">
        <f aca="false">TRUE()</f>
        <v>1</v>
      </c>
    </row>
    <row r="187" customFormat="false" ht="15" hidden="false" customHeight="false" outlineLevel="0" collapsed="false">
      <c r="A187" s="6" t="n">
        <v>313741</v>
      </c>
      <c r="B187" s="6" t="s">
        <v>351</v>
      </c>
      <c r="C187" s="6" t="s">
        <v>352</v>
      </c>
      <c r="D187" s="6" t="s">
        <v>46</v>
      </c>
      <c r="E187" s="6" t="s">
        <v>35</v>
      </c>
      <c r="F187" s="6" t="n">
        <v>11.796978</v>
      </c>
      <c r="G187" s="6" t="n">
        <v>76.006601</v>
      </c>
      <c r="H187" s="6" t="n">
        <v>2</v>
      </c>
      <c r="I187" s="6" t="n">
        <v>60</v>
      </c>
      <c r="J187" s="6" t="s">
        <v>39</v>
      </c>
      <c r="K187" s="7" t="b">
        <f aca="false">TRUE()</f>
        <v>1</v>
      </c>
    </row>
    <row r="188" customFormat="false" ht="15" hidden="false" customHeight="false" outlineLevel="0" collapsed="false">
      <c r="A188" s="6" t="n">
        <v>313740</v>
      </c>
      <c r="B188" s="6" t="s">
        <v>353</v>
      </c>
      <c r="C188" s="6" t="s">
        <v>103</v>
      </c>
      <c r="D188" s="6" t="s">
        <v>46</v>
      </c>
      <c r="E188" s="6" t="s">
        <v>35</v>
      </c>
      <c r="F188" s="6" t="n">
        <v>11.662086</v>
      </c>
      <c r="G188" s="6" t="n">
        <v>76.264922</v>
      </c>
      <c r="H188" s="6" t="n">
        <v>4</v>
      </c>
      <c r="I188" s="6" t="n">
        <v>60</v>
      </c>
      <c r="J188" s="6" t="s">
        <v>39</v>
      </c>
      <c r="K188" s="7" t="b">
        <f aca="false">TRUE()</f>
        <v>1</v>
      </c>
    </row>
    <row r="189" customFormat="false" ht="15" hidden="false" customHeight="false" outlineLevel="0" collapsed="false">
      <c r="A189" s="6" t="n">
        <v>313739</v>
      </c>
      <c r="B189" s="6" t="s">
        <v>354</v>
      </c>
      <c r="C189" s="6" t="s">
        <v>105</v>
      </c>
      <c r="D189" s="6" t="s">
        <v>46</v>
      </c>
      <c r="E189" s="6" t="s">
        <v>35</v>
      </c>
      <c r="F189" s="6" t="n">
        <v>11.654046</v>
      </c>
      <c r="G189" s="6" t="n">
        <v>76.153585</v>
      </c>
      <c r="H189" s="6" t="n">
        <v>2</v>
      </c>
      <c r="I189" s="6" t="n">
        <v>60</v>
      </c>
      <c r="J189" s="6" t="s">
        <v>39</v>
      </c>
      <c r="K189" s="7" t="b">
        <f aca="false">TRUE()</f>
        <v>1</v>
      </c>
    </row>
    <row r="190" customFormat="false" ht="15" hidden="false" customHeight="false" outlineLevel="0" collapsed="false">
      <c r="A190" s="6" t="n">
        <v>313738</v>
      </c>
      <c r="B190" s="6" t="s">
        <v>355</v>
      </c>
      <c r="C190" s="6" t="s">
        <v>107</v>
      </c>
      <c r="D190" s="6" t="s">
        <v>46</v>
      </c>
      <c r="E190" s="6" t="s">
        <v>35</v>
      </c>
      <c r="F190" s="6" t="n">
        <v>11.591455</v>
      </c>
      <c r="G190" s="6" t="n">
        <v>76.07091</v>
      </c>
      <c r="H190" s="6" t="n">
        <v>4</v>
      </c>
      <c r="I190" s="6" t="n">
        <v>30</v>
      </c>
      <c r="J190" s="6" t="s">
        <v>36</v>
      </c>
      <c r="K190" s="7" t="b">
        <f aca="false">FALSE()</f>
        <v>0</v>
      </c>
    </row>
    <row r="191" customFormat="false" ht="15" hidden="false" customHeight="false" outlineLevel="0" collapsed="false">
      <c r="A191" s="6" t="n">
        <v>313737</v>
      </c>
      <c r="B191" s="6" t="s">
        <v>356</v>
      </c>
      <c r="C191" s="6" t="s">
        <v>357</v>
      </c>
      <c r="D191" s="6" t="s">
        <v>46</v>
      </c>
      <c r="E191" s="6" t="s">
        <v>35</v>
      </c>
      <c r="F191" s="6" t="n">
        <v>11.545754</v>
      </c>
      <c r="G191" s="6" t="n">
        <v>76.039372</v>
      </c>
      <c r="H191" s="6" t="n">
        <v>6</v>
      </c>
      <c r="I191" s="6" t="n">
        <v>30</v>
      </c>
      <c r="J191" s="6" t="s">
        <v>36</v>
      </c>
      <c r="K191" s="7" t="b">
        <f aca="false">FALSE()</f>
        <v>0</v>
      </c>
    </row>
    <row r="192" customFormat="false" ht="15" hidden="false" customHeight="false" outlineLevel="0" collapsed="false">
      <c r="A192" s="6" t="n">
        <v>313736</v>
      </c>
      <c r="B192" s="6" t="s">
        <v>358</v>
      </c>
      <c r="C192" s="6" t="s">
        <v>316</v>
      </c>
      <c r="D192" s="6" t="s">
        <v>46</v>
      </c>
      <c r="E192" s="6" t="s">
        <v>35</v>
      </c>
      <c r="F192" s="6" t="n">
        <v>11.444087</v>
      </c>
      <c r="G192" s="6" t="n">
        <v>75.955877</v>
      </c>
      <c r="H192" s="6" t="n">
        <v>6</v>
      </c>
      <c r="I192" s="6" t="n">
        <v>30</v>
      </c>
      <c r="J192" s="6" t="s">
        <v>36</v>
      </c>
      <c r="K192" s="7" t="b">
        <f aca="false">FALSE()</f>
        <v>0</v>
      </c>
    </row>
    <row r="193" customFormat="false" ht="15" hidden="false" customHeight="false" outlineLevel="0" collapsed="false">
      <c r="A193" s="6" t="n">
        <v>313735</v>
      </c>
      <c r="B193" s="6" t="s">
        <v>359</v>
      </c>
      <c r="C193" s="6" t="s">
        <v>360</v>
      </c>
      <c r="D193" s="6" t="s">
        <v>46</v>
      </c>
      <c r="E193" s="6" t="s">
        <v>35</v>
      </c>
      <c r="F193" s="6" t="n">
        <v>11.339684</v>
      </c>
      <c r="G193" s="6" t="n">
        <v>75.898716</v>
      </c>
      <c r="H193" s="6" t="n">
        <v>6</v>
      </c>
      <c r="I193" s="6" t="n">
        <v>120</v>
      </c>
      <c r="J193" s="6" t="s">
        <v>39</v>
      </c>
      <c r="K193" s="7" t="b">
        <f aca="false">TRUE()</f>
        <v>1</v>
      </c>
    </row>
    <row r="194" customFormat="false" ht="15" hidden="false" customHeight="false" outlineLevel="0" collapsed="false">
      <c r="A194" s="6" t="n">
        <v>313734</v>
      </c>
      <c r="B194" s="6" t="s">
        <v>361</v>
      </c>
      <c r="C194" s="6" t="s">
        <v>362</v>
      </c>
      <c r="D194" s="6" t="s">
        <v>46</v>
      </c>
      <c r="E194" s="6" t="s">
        <v>35</v>
      </c>
      <c r="F194" s="6" t="n">
        <v>11.311692</v>
      </c>
      <c r="G194" s="6" t="n">
        <v>75.882593</v>
      </c>
      <c r="H194" s="6" t="n">
        <v>2</v>
      </c>
      <c r="I194" s="6" t="n">
        <v>60</v>
      </c>
      <c r="J194" s="6" t="s">
        <v>39</v>
      </c>
      <c r="K194" s="7" t="b">
        <f aca="false">TRUE()</f>
        <v>1</v>
      </c>
    </row>
    <row r="195" customFormat="false" ht="15" hidden="false" customHeight="false" outlineLevel="0" collapsed="false">
      <c r="A195" s="6" t="n">
        <v>313733</v>
      </c>
      <c r="B195" s="6" t="s">
        <v>363</v>
      </c>
      <c r="C195" s="6" t="s">
        <v>93</v>
      </c>
      <c r="D195" s="6" t="s">
        <v>46</v>
      </c>
      <c r="E195" s="6" t="s">
        <v>35</v>
      </c>
      <c r="F195" s="6" t="n">
        <v>11.280674</v>
      </c>
      <c r="G195" s="6" t="n">
        <v>75.824632</v>
      </c>
      <c r="H195" s="6" t="n">
        <v>1</v>
      </c>
      <c r="I195" s="6" t="n">
        <v>30</v>
      </c>
      <c r="J195" s="6" t="s">
        <v>36</v>
      </c>
      <c r="K195" s="7" t="b">
        <f aca="false">FALSE()</f>
        <v>0</v>
      </c>
    </row>
    <row r="196" customFormat="false" ht="15" hidden="false" customHeight="false" outlineLevel="0" collapsed="false">
      <c r="A196" s="6" t="n">
        <v>313732</v>
      </c>
      <c r="B196" s="6" t="s">
        <v>364</v>
      </c>
      <c r="C196" s="6" t="s">
        <v>93</v>
      </c>
      <c r="D196" s="6" t="s">
        <v>46</v>
      </c>
      <c r="E196" s="6" t="s">
        <v>35</v>
      </c>
      <c r="F196" s="6" t="n">
        <v>11.280815</v>
      </c>
      <c r="G196" s="6" t="n">
        <v>75.82435</v>
      </c>
      <c r="H196" s="6" t="n">
        <v>1</v>
      </c>
      <c r="I196" s="6" t="n">
        <v>30</v>
      </c>
      <c r="J196" s="6" t="s">
        <v>36</v>
      </c>
      <c r="K196" s="7" t="b">
        <f aca="false">FALSE()</f>
        <v>0</v>
      </c>
    </row>
    <row r="197" customFormat="false" ht="15" hidden="false" customHeight="false" outlineLevel="0" collapsed="false">
      <c r="A197" s="6" t="n">
        <v>313731</v>
      </c>
      <c r="B197" s="6" t="s">
        <v>365</v>
      </c>
      <c r="C197" s="6" t="s">
        <v>366</v>
      </c>
      <c r="D197" s="6" t="s">
        <v>46</v>
      </c>
      <c r="E197" s="6" t="s">
        <v>35</v>
      </c>
      <c r="F197" s="6" t="n">
        <v>11.427675</v>
      </c>
      <c r="G197" s="6" t="n">
        <v>75.702996</v>
      </c>
      <c r="H197" s="6" t="n">
        <v>1</v>
      </c>
      <c r="I197" s="6" t="n">
        <v>30</v>
      </c>
      <c r="J197" s="6" t="s">
        <v>36</v>
      </c>
      <c r="K197" s="7" t="b">
        <f aca="false">FALSE()</f>
        <v>0</v>
      </c>
    </row>
    <row r="198" customFormat="false" ht="15" hidden="false" customHeight="false" outlineLevel="0" collapsed="false">
      <c r="A198" s="6" t="n">
        <v>313729</v>
      </c>
      <c r="B198" s="6" t="s">
        <v>367</v>
      </c>
      <c r="C198" s="6" t="s">
        <v>368</v>
      </c>
      <c r="D198" s="6" t="s">
        <v>34</v>
      </c>
      <c r="E198" s="6" t="s">
        <v>35</v>
      </c>
      <c r="F198" s="6" t="n">
        <v>12.352687</v>
      </c>
      <c r="G198" s="6" t="n">
        <v>76.629203</v>
      </c>
      <c r="H198" s="6" t="n">
        <v>1</v>
      </c>
      <c r="I198" s="6" t="n">
        <v>60</v>
      </c>
      <c r="J198" s="6" t="s">
        <v>39</v>
      </c>
      <c r="K198" s="7" t="b">
        <f aca="false">TRUE()</f>
        <v>1</v>
      </c>
    </row>
    <row r="199" customFormat="false" ht="15" hidden="false" customHeight="false" outlineLevel="0" collapsed="false">
      <c r="A199" s="6" t="n">
        <v>313728</v>
      </c>
      <c r="B199" s="6" t="s">
        <v>369</v>
      </c>
      <c r="C199" s="6" t="s">
        <v>368</v>
      </c>
      <c r="D199" s="6" t="s">
        <v>34</v>
      </c>
      <c r="E199" s="6" t="s">
        <v>35</v>
      </c>
      <c r="F199" s="6" t="n">
        <v>12.350146</v>
      </c>
      <c r="G199" s="6" t="n">
        <v>76.660199</v>
      </c>
      <c r="H199" s="6" t="n">
        <v>1</v>
      </c>
      <c r="I199" s="6" t="n">
        <v>60</v>
      </c>
      <c r="J199" s="6" t="s">
        <v>39</v>
      </c>
      <c r="K199" s="7" t="b">
        <f aca="false">TRUE()</f>
        <v>1</v>
      </c>
    </row>
    <row r="200" customFormat="false" ht="15" hidden="false" customHeight="false" outlineLevel="0" collapsed="false">
      <c r="A200" s="6" t="n">
        <v>313727</v>
      </c>
      <c r="B200" s="6" t="s">
        <v>370</v>
      </c>
      <c r="C200" s="6" t="s">
        <v>371</v>
      </c>
      <c r="D200" s="6" t="s">
        <v>46</v>
      </c>
      <c r="E200" s="6" t="s">
        <v>35</v>
      </c>
      <c r="F200" s="6" t="n">
        <v>11.312412</v>
      </c>
      <c r="G200" s="6" t="n">
        <v>75.758591</v>
      </c>
      <c r="H200" s="6" t="n">
        <v>6</v>
      </c>
      <c r="I200" s="6" t="n">
        <v>30</v>
      </c>
      <c r="J200" s="6" t="s">
        <v>36</v>
      </c>
      <c r="K200" s="7" t="b">
        <f aca="false">FALSE()</f>
        <v>0</v>
      </c>
    </row>
    <row r="201" customFormat="false" ht="15" hidden="false" customHeight="false" outlineLevel="0" collapsed="false">
      <c r="A201" s="6" t="n">
        <v>313726</v>
      </c>
      <c r="B201" s="6" t="s">
        <v>372</v>
      </c>
      <c r="C201" s="6" t="s">
        <v>93</v>
      </c>
      <c r="D201" s="6" t="s">
        <v>46</v>
      </c>
      <c r="E201" s="6" t="s">
        <v>35</v>
      </c>
      <c r="F201" s="6" t="n">
        <v>11.262784</v>
      </c>
      <c r="G201" s="6" t="n">
        <v>75.768241</v>
      </c>
      <c r="H201" s="6" t="n">
        <v>1</v>
      </c>
      <c r="I201" s="6" t="n">
        <v>30</v>
      </c>
      <c r="J201" s="6" t="s">
        <v>36</v>
      </c>
      <c r="K201" s="7" t="b">
        <f aca="false">FALSE()</f>
        <v>0</v>
      </c>
    </row>
    <row r="202" customFormat="false" ht="15" hidden="false" customHeight="false" outlineLevel="0" collapsed="false">
      <c r="A202" s="6" t="n">
        <v>313725</v>
      </c>
      <c r="B202" s="6" t="s">
        <v>373</v>
      </c>
      <c r="C202" s="6" t="s">
        <v>374</v>
      </c>
      <c r="D202" s="6" t="s">
        <v>46</v>
      </c>
      <c r="E202" s="6" t="s">
        <v>35</v>
      </c>
      <c r="F202" s="6" t="n">
        <v>11.386628</v>
      </c>
      <c r="G202" s="6" t="n">
        <v>76.354722</v>
      </c>
      <c r="H202" s="6" t="n">
        <v>1</v>
      </c>
      <c r="I202" s="6" t="n">
        <v>30</v>
      </c>
      <c r="J202" s="6" t="s">
        <v>36</v>
      </c>
      <c r="K202" s="7" t="b">
        <f aca="false">FALSE()</f>
        <v>0</v>
      </c>
    </row>
    <row r="203" customFormat="false" ht="15" hidden="false" customHeight="false" outlineLevel="0" collapsed="false">
      <c r="A203" s="6" t="n">
        <v>313724</v>
      </c>
      <c r="B203" s="6" t="s">
        <v>375</v>
      </c>
      <c r="C203" s="6" t="s">
        <v>376</v>
      </c>
      <c r="D203" s="6" t="s">
        <v>46</v>
      </c>
      <c r="E203" s="6" t="s">
        <v>35</v>
      </c>
      <c r="F203" s="6" t="n">
        <v>11.245323</v>
      </c>
      <c r="G203" s="6" t="n">
        <v>75.977492</v>
      </c>
      <c r="H203" s="6" t="n">
        <v>1</v>
      </c>
      <c r="I203" s="6" t="n">
        <v>30</v>
      </c>
      <c r="J203" s="6" t="s">
        <v>36</v>
      </c>
      <c r="K203" s="7" t="b">
        <f aca="false">FALSE()</f>
        <v>0</v>
      </c>
    </row>
    <row r="204" customFormat="false" ht="15" hidden="false" customHeight="false" outlineLevel="0" collapsed="false">
      <c r="A204" s="6" t="n">
        <v>313723</v>
      </c>
      <c r="B204" s="6" t="s">
        <v>377</v>
      </c>
      <c r="C204" s="6" t="s">
        <v>378</v>
      </c>
      <c r="D204" s="6" t="s">
        <v>46</v>
      </c>
      <c r="E204" s="6" t="s">
        <v>35</v>
      </c>
      <c r="F204" s="6" t="n">
        <v>11.180744</v>
      </c>
      <c r="G204" s="6" t="n">
        <v>75.851199</v>
      </c>
      <c r="H204" s="6" t="n">
        <v>1</v>
      </c>
      <c r="I204" s="6" t="n">
        <v>30</v>
      </c>
      <c r="J204" s="6" t="s">
        <v>36</v>
      </c>
      <c r="K204" s="7" t="b">
        <f aca="false">FALSE()</f>
        <v>0</v>
      </c>
    </row>
    <row r="205" customFormat="false" ht="15" hidden="false" customHeight="false" outlineLevel="0" collapsed="false">
      <c r="A205" s="6" t="n">
        <v>313722</v>
      </c>
      <c r="B205" s="6" t="s">
        <v>379</v>
      </c>
      <c r="C205" s="6" t="s">
        <v>380</v>
      </c>
      <c r="D205" s="6" t="s">
        <v>46</v>
      </c>
      <c r="E205" s="6" t="s">
        <v>35</v>
      </c>
      <c r="F205" s="6" t="n">
        <v>11.168868</v>
      </c>
      <c r="G205" s="6" t="n">
        <v>75.926769</v>
      </c>
      <c r="H205" s="6" t="n">
        <v>1</v>
      </c>
      <c r="I205" s="6" t="n">
        <v>30</v>
      </c>
      <c r="J205" s="6" t="s">
        <v>36</v>
      </c>
      <c r="K205" s="7" t="b">
        <f aca="false">FALSE()</f>
        <v>0</v>
      </c>
    </row>
    <row r="206" customFormat="false" ht="15" hidden="false" customHeight="false" outlineLevel="0" collapsed="false">
      <c r="A206" s="6" t="n">
        <v>313721</v>
      </c>
      <c r="B206" s="6" t="s">
        <v>364</v>
      </c>
      <c r="C206" s="6" t="s">
        <v>381</v>
      </c>
      <c r="D206" s="6" t="s">
        <v>46</v>
      </c>
      <c r="E206" s="6" t="s">
        <v>35</v>
      </c>
      <c r="F206" s="6" t="n">
        <v>11.17328</v>
      </c>
      <c r="G206" s="6" t="n">
        <v>75.902152</v>
      </c>
      <c r="H206" s="6" t="n">
        <v>1</v>
      </c>
      <c r="I206" s="6" t="n">
        <v>30</v>
      </c>
      <c r="J206" s="6" t="s">
        <v>36</v>
      </c>
      <c r="K206" s="7" t="b">
        <f aca="false">FALSE()</f>
        <v>0</v>
      </c>
    </row>
    <row r="207" customFormat="false" ht="15" hidden="false" customHeight="false" outlineLevel="0" collapsed="false">
      <c r="A207" s="6" t="n">
        <v>313720</v>
      </c>
      <c r="B207" s="6" t="s">
        <v>382</v>
      </c>
      <c r="C207" s="6" t="s">
        <v>383</v>
      </c>
      <c r="D207" s="6" t="s">
        <v>46</v>
      </c>
      <c r="E207" s="6" t="s">
        <v>35</v>
      </c>
      <c r="F207" s="6" t="n">
        <v>11.144919</v>
      </c>
      <c r="G207" s="6" t="n">
        <v>75.89617</v>
      </c>
      <c r="H207" s="6" t="n">
        <v>1</v>
      </c>
      <c r="I207" s="6" t="n">
        <v>30</v>
      </c>
      <c r="J207" s="6" t="s">
        <v>36</v>
      </c>
      <c r="K207" s="7" t="b">
        <f aca="false">FALSE()</f>
        <v>0</v>
      </c>
    </row>
    <row r="208" customFormat="false" ht="15" hidden="false" customHeight="false" outlineLevel="0" collapsed="false">
      <c r="A208" s="6" t="n">
        <v>313719</v>
      </c>
      <c r="B208" s="6" t="s">
        <v>384</v>
      </c>
      <c r="C208" s="6" t="s">
        <v>79</v>
      </c>
      <c r="D208" s="6" t="s">
        <v>46</v>
      </c>
      <c r="E208" s="6" t="s">
        <v>35</v>
      </c>
      <c r="F208" s="6" t="n">
        <v>10.916247</v>
      </c>
      <c r="G208" s="6" t="n">
        <v>75.918287</v>
      </c>
      <c r="H208" s="6" t="n">
        <v>5</v>
      </c>
      <c r="I208" s="6" t="n">
        <v>30</v>
      </c>
      <c r="J208" s="6" t="s">
        <v>36</v>
      </c>
      <c r="K208" s="7" t="b">
        <f aca="false">FALSE()</f>
        <v>0</v>
      </c>
    </row>
    <row r="209" customFormat="false" ht="15" hidden="false" customHeight="false" outlineLevel="0" collapsed="false">
      <c r="A209" s="6" t="n">
        <v>313718</v>
      </c>
      <c r="B209" s="6" t="s">
        <v>385</v>
      </c>
      <c r="C209" s="6" t="s">
        <v>386</v>
      </c>
      <c r="D209" s="6" t="s">
        <v>46</v>
      </c>
      <c r="E209" s="6" t="s">
        <v>35</v>
      </c>
      <c r="F209" s="6" t="n">
        <v>10.92282</v>
      </c>
      <c r="G209" s="6" t="n">
        <v>76.032918</v>
      </c>
      <c r="H209" s="6" t="n">
        <v>2</v>
      </c>
      <c r="I209" s="6" t="n">
        <v>30</v>
      </c>
      <c r="J209" s="6" t="s">
        <v>36</v>
      </c>
      <c r="K209" s="7" t="b">
        <f aca="false">FALSE()</f>
        <v>0</v>
      </c>
    </row>
    <row r="210" customFormat="false" ht="15" hidden="false" customHeight="false" outlineLevel="0" collapsed="false">
      <c r="A210" s="6" t="n">
        <v>313717</v>
      </c>
      <c r="B210" s="6" t="s">
        <v>387</v>
      </c>
      <c r="C210" s="6" t="s">
        <v>388</v>
      </c>
      <c r="D210" s="6" t="s">
        <v>46</v>
      </c>
      <c r="E210" s="6" t="s">
        <v>35</v>
      </c>
      <c r="F210" s="6" t="n">
        <v>11.001727</v>
      </c>
      <c r="G210" s="6" t="n">
        <v>75.980449</v>
      </c>
      <c r="H210" s="6" t="n">
        <v>2</v>
      </c>
      <c r="I210" s="6" t="n">
        <v>60</v>
      </c>
      <c r="J210" s="6" t="s">
        <v>39</v>
      </c>
      <c r="K210" s="7" t="b">
        <f aca="false">TRUE()</f>
        <v>1</v>
      </c>
    </row>
    <row r="211" customFormat="false" ht="15" hidden="false" customHeight="false" outlineLevel="0" collapsed="false">
      <c r="A211" s="6" t="n">
        <v>313716</v>
      </c>
      <c r="B211" s="6" t="s">
        <v>389</v>
      </c>
      <c r="C211" s="6" t="s">
        <v>390</v>
      </c>
      <c r="D211" s="6" t="s">
        <v>46</v>
      </c>
      <c r="E211" s="6" t="s">
        <v>35</v>
      </c>
      <c r="F211" s="6" t="n">
        <v>11.054225</v>
      </c>
      <c r="G211" s="6" t="n">
        <v>76.092143</v>
      </c>
      <c r="H211" s="6" t="n">
        <v>6</v>
      </c>
      <c r="I211" s="6" t="n">
        <v>30</v>
      </c>
      <c r="J211" s="6" t="s">
        <v>36</v>
      </c>
      <c r="K211" s="7" t="b">
        <f aca="false">FALSE()</f>
        <v>0</v>
      </c>
    </row>
    <row r="212" customFormat="false" ht="15" hidden="false" customHeight="false" outlineLevel="0" collapsed="false">
      <c r="A212" s="6" t="n">
        <v>313715</v>
      </c>
      <c r="B212" s="6" t="s">
        <v>391</v>
      </c>
      <c r="C212" s="6" t="s">
        <v>84</v>
      </c>
      <c r="D212" s="6" t="s">
        <v>46</v>
      </c>
      <c r="E212" s="6" t="s">
        <v>35</v>
      </c>
      <c r="F212" s="6" t="n">
        <v>11.123033</v>
      </c>
      <c r="G212" s="6" t="n">
        <v>76.115868</v>
      </c>
      <c r="H212" s="6" t="n">
        <v>1</v>
      </c>
      <c r="I212" s="6" t="n">
        <v>30</v>
      </c>
      <c r="J212" s="6" t="s">
        <v>36</v>
      </c>
      <c r="K212" s="7" t="b">
        <f aca="false">FALSE()</f>
        <v>0</v>
      </c>
    </row>
    <row r="213" customFormat="false" ht="15" hidden="false" customHeight="false" outlineLevel="0" collapsed="false">
      <c r="A213" s="6" t="n">
        <v>313714</v>
      </c>
      <c r="B213" s="6" t="s">
        <v>392</v>
      </c>
      <c r="C213" s="6" t="s">
        <v>84</v>
      </c>
      <c r="D213" s="6" t="s">
        <v>46</v>
      </c>
      <c r="E213" s="6" t="s">
        <v>35</v>
      </c>
      <c r="F213" s="6" t="n">
        <v>11.123411</v>
      </c>
      <c r="G213" s="6" t="n">
        <v>76.124185</v>
      </c>
      <c r="H213" s="6" t="n">
        <v>1</v>
      </c>
      <c r="I213" s="6" t="n">
        <v>30</v>
      </c>
      <c r="J213" s="6" t="s">
        <v>36</v>
      </c>
      <c r="K213" s="7" t="b">
        <f aca="false">FALSE()</f>
        <v>0</v>
      </c>
    </row>
    <row r="214" customFormat="false" ht="15" hidden="false" customHeight="false" outlineLevel="0" collapsed="false">
      <c r="A214" s="6" t="n">
        <v>313713</v>
      </c>
      <c r="B214" s="6" t="s">
        <v>393</v>
      </c>
      <c r="C214" s="6" t="s">
        <v>296</v>
      </c>
      <c r="D214" s="6" t="s">
        <v>46</v>
      </c>
      <c r="E214" s="6" t="s">
        <v>35</v>
      </c>
      <c r="F214" s="6" t="n">
        <v>11.0964</v>
      </c>
      <c r="G214" s="6" t="n">
        <v>76.210707</v>
      </c>
      <c r="H214" s="6" t="n">
        <v>2</v>
      </c>
      <c r="I214" s="6" t="n">
        <v>30</v>
      </c>
      <c r="J214" s="6" t="s">
        <v>36</v>
      </c>
      <c r="K214" s="7" t="b">
        <f aca="false">FALSE()</f>
        <v>0</v>
      </c>
    </row>
    <row r="215" customFormat="false" ht="15" hidden="false" customHeight="false" outlineLevel="0" collapsed="false">
      <c r="A215" s="6" t="n">
        <v>313712</v>
      </c>
      <c r="B215" s="6" t="s">
        <v>394</v>
      </c>
      <c r="C215" s="6" t="s">
        <v>395</v>
      </c>
      <c r="D215" s="6" t="s">
        <v>46</v>
      </c>
      <c r="E215" s="6" t="s">
        <v>35</v>
      </c>
      <c r="F215" s="6" t="n">
        <v>11.056208</v>
      </c>
      <c r="G215" s="6" t="n">
        <v>76.278512</v>
      </c>
      <c r="H215" s="6" t="n">
        <v>2</v>
      </c>
      <c r="I215" s="6" t="n">
        <v>30</v>
      </c>
      <c r="J215" s="6" t="s">
        <v>36</v>
      </c>
      <c r="K215" s="7" t="b">
        <f aca="false">FALSE()</f>
        <v>0</v>
      </c>
    </row>
    <row r="216" customFormat="false" ht="15" hidden="false" customHeight="false" outlineLevel="0" collapsed="false">
      <c r="A216" s="6" t="n">
        <v>313711</v>
      </c>
      <c r="B216" s="6" t="s">
        <v>396</v>
      </c>
      <c r="C216" s="6" t="s">
        <v>397</v>
      </c>
      <c r="D216" s="6" t="s">
        <v>46</v>
      </c>
      <c r="E216" s="6" t="s">
        <v>35</v>
      </c>
      <c r="F216" s="6" t="n">
        <v>11.034502</v>
      </c>
      <c r="G216" s="6" t="n">
        <v>76.261887</v>
      </c>
      <c r="H216" s="6" t="n">
        <v>1</v>
      </c>
      <c r="I216" s="6" t="n">
        <v>30</v>
      </c>
      <c r="J216" s="6" t="s">
        <v>36</v>
      </c>
      <c r="K216" s="7" t="b">
        <f aca="false">FALSE()</f>
        <v>0</v>
      </c>
    </row>
    <row r="217" customFormat="false" ht="15" hidden="false" customHeight="false" outlineLevel="0" collapsed="false">
      <c r="A217" s="6" t="n">
        <v>313710</v>
      </c>
      <c r="B217" s="6" t="s">
        <v>398</v>
      </c>
      <c r="C217" s="6" t="s">
        <v>74</v>
      </c>
      <c r="D217" s="6" t="s">
        <v>46</v>
      </c>
      <c r="E217" s="6" t="s">
        <v>35</v>
      </c>
      <c r="F217" s="6" t="n">
        <v>10.977194</v>
      </c>
      <c r="G217" s="6" t="n">
        <v>76.221651</v>
      </c>
      <c r="H217" s="6" t="n">
        <v>2</v>
      </c>
      <c r="I217" s="6" t="n">
        <v>60</v>
      </c>
      <c r="J217" s="6" t="s">
        <v>39</v>
      </c>
      <c r="K217" s="7" t="b">
        <f aca="false">TRUE()</f>
        <v>1</v>
      </c>
    </row>
    <row r="218" customFormat="false" ht="15" hidden="false" customHeight="false" outlineLevel="0" collapsed="false">
      <c r="A218" s="6" t="n">
        <v>313709</v>
      </c>
      <c r="B218" s="6" t="s">
        <v>399</v>
      </c>
      <c r="C218" s="6" t="s">
        <v>290</v>
      </c>
      <c r="D218" s="6" t="s">
        <v>46</v>
      </c>
      <c r="E218" s="6" t="s">
        <v>35</v>
      </c>
      <c r="F218" s="6" t="n">
        <v>10.988865</v>
      </c>
      <c r="G218" s="6" t="n">
        <v>76.436689</v>
      </c>
      <c r="H218" s="6" t="n">
        <v>2</v>
      </c>
      <c r="I218" s="6" t="n">
        <v>60</v>
      </c>
      <c r="J218" s="6" t="s">
        <v>39</v>
      </c>
      <c r="K218" s="7" t="b">
        <f aca="false">TRUE()</f>
        <v>1</v>
      </c>
    </row>
    <row r="219" customFormat="false" ht="15" hidden="false" customHeight="false" outlineLevel="0" collapsed="false">
      <c r="A219" s="6" t="n">
        <v>313708</v>
      </c>
      <c r="B219" s="6" t="s">
        <v>400</v>
      </c>
      <c r="C219" s="6" t="s">
        <v>401</v>
      </c>
      <c r="D219" s="6" t="s">
        <v>46</v>
      </c>
      <c r="E219" s="6" t="s">
        <v>35</v>
      </c>
      <c r="F219" s="6" t="n">
        <v>10.809363</v>
      </c>
      <c r="G219" s="6" t="n">
        <v>76.846322</v>
      </c>
      <c r="H219" s="6" t="n">
        <v>4</v>
      </c>
      <c r="I219" s="6" t="n">
        <v>30</v>
      </c>
      <c r="J219" s="6" t="s">
        <v>36</v>
      </c>
      <c r="K219" s="7" t="b">
        <f aca="false">FALSE()</f>
        <v>0</v>
      </c>
    </row>
    <row r="220" customFormat="false" ht="15" hidden="false" customHeight="false" outlineLevel="0" collapsed="false">
      <c r="A220" s="6" t="n">
        <v>313707</v>
      </c>
      <c r="B220" s="6" t="s">
        <v>402</v>
      </c>
      <c r="C220" s="6" t="s">
        <v>403</v>
      </c>
      <c r="D220" s="6" t="s">
        <v>46</v>
      </c>
      <c r="E220" s="6" t="s">
        <v>35</v>
      </c>
      <c r="F220" s="6" t="n">
        <v>10.80228</v>
      </c>
      <c r="G220" s="6" t="n">
        <v>76.785203</v>
      </c>
      <c r="H220" s="6" t="n">
        <v>2</v>
      </c>
      <c r="I220" s="6" t="n">
        <v>30</v>
      </c>
      <c r="J220" s="6" t="s">
        <v>36</v>
      </c>
      <c r="K220" s="7" t="b">
        <f aca="false">FALSE()</f>
        <v>0</v>
      </c>
    </row>
    <row r="221" customFormat="false" ht="15" hidden="false" customHeight="false" outlineLevel="0" collapsed="false">
      <c r="A221" s="6" t="n">
        <v>313706</v>
      </c>
      <c r="B221" s="6" t="s">
        <v>404</v>
      </c>
      <c r="C221" s="6" t="s">
        <v>60</v>
      </c>
      <c r="D221" s="6" t="s">
        <v>46</v>
      </c>
      <c r="E221" s="6" t="s">
        <v>35</v>
      </c>
      <c r="F221" s="6" t="n">
        <v>10.785355</v>
      </c>
      <c r="G221" s="6" t="n">
        <v>76.603956</v>
      </c>
      <c r="H221" s="6" t="n">
        <v>2</v>
      </c>
      <c r="I221" s="6" t="n">
        <v>30</v>
      </c>
      <c r="J221" s="6" t="s">
        <v>36</v>
      </c>
      <c r="K221" s="7" t="b">
        <f aca="false">FALSE()</f>
        <v>0</v>
      </c>
    </row>
    <row r="222" customFormat="false" ht="15" hidden="false" customHeight="false" outlineLevel="0" collapsed="false">
      <c r="A222" s="6" t="n">
        <v>313705</v>
      </c>
      <c r="B222" s="6" t="s">
        <v>405</v>
      </c>
      <c r="C222" s="6" t="s">
        <v>406</v>
      </c>
      <c r="D222" s="6" t="s">
        <v>46</v>
      </c>
      <c r="E222" s="6" t="s">
        <v>35</v>
      </c>
      <c r="F222" s="6" t="n">
        <v>10.839492</v>
      </c>
      <c r="G222" s="6" t="n">
        <v>76.58</v>
      </c>
      <c r="H222" s="6" t="n">
        <v>1</v>
      </c>
      <c r="I222" s="6" t="n">
        <v>30</v>
      </c>
      <c r="J222" s="6" t="s">
        <v>36</v>
      </c>
      <c r="K222" s="7" t="b">
        <f aca="false">FALSE()</f>
        <v>0</v>
      </c>
    </row>
    <row r="223" customFormat="false" ht="15" hidden="false" customHeight="false" outlineLevel="0" collapsed="false">
      <c r="A223" s="6" t="n">
        <v>313704</v>
      </c>
      <c r="B223" s="6" t="s">
        <v>407</v>
      </c>
      <c r="C223" s="6" t="s">
        <v>408</v>
      </c>
      <c r="D223" s="6" t="s">
        <v>46</v>
      </c>
      <c r="E223" s="6" t="s">
        <v>35</v>
      </c>
      <c r="F223" s="6" t="n">
        <v>10.89808</v>
      </c>
      <c r="G223" s="6" t="n">
        <v>76.395296</v>
      </c>
      <c r="H223" s="6" t="n">
        <v>1</v>
      </c>
      <c r="I223" s="6" t="n">
        <v>30</v>
      </c>
      <c r="J223" s="6" t="s">
        <v>36</v>
      </c>
      <c r="K223" s="7" t="b">
        <f aca="false">FALSE()</f>
        <v>0</v>
      </c>
    </row>
    <row r="224" customFormat="false" ht="15" hidden="false" customHeight="false" outlineLevel="0" collapsed="false">
      <c r="A224" s="6" t="n">
        <v>313703</v>
      </c>
      <c r="B224" s="6" t="s">
        <v>409</v>
      </c>
      <c r="C224" s="6" t="s">
        <v>312</v>
      </c>
      <c r="D224" s="6" t="s">
        <v>46</v>
      </c>
      <c r="E224" s="6" t="s">
        <v>35</v>
      </c>
      <c r="F224" s="6" t="n">
        <v>10.778142</v>
      </c>
      <c r="G224" s="6" t="n">
        <v>76.43743</v>
      </c>
      <c r="H224" s="6" t="n">
        <v>2</v>
      </c>
      <c r="I224" s="6" t="n">
        <v>60</v>
      </c>
      <c r="J224" s="6" t="s">
        <v>39</v>
      </c>
      <c r="K224" s="7" t="b">
        <f aca="false">TRUE()</f>
        <v>1</v>
      </c>
    </row>
    <row r="225" customFormat="false" ht="15" hidden="false" customHeight="false" outlineLevel="0" collapsed="false">
      <c r="A225" s="6" t="n">
        <v>313702</v>
      </c>
      <c r="B225" s="6" t="s">
        <v>410</v>
      </c>
      <c r="C225" s="6" t="s">
        <v>411</v>
      </c>
      <c r="D225" s="6" t="s">
        <v>46</v>
      </c>
      <c r="E225" s="6" t="s">
        <v>35</v>
      </c>
      <c r="F225" s="6" t="n">
        <v>10.779746</v>
      </c>
      <c r="G225" s="6" t="n">
        <v>76.285281</v>
      </c>
      <c r="H225" s="6" t="n">
        <v>9</v>
      </c>
      <c r="I225" s="6" t="n">
        <v>30</v>
      </c>
      <c r="J225" s="6" t="s">
        <v>36</v>
      </c>
      <c r="K225" s="7" t="b">
        <f aca="false">FALSE()</f>
        <v>0</v>
      </c>
    </row>
    <row r="226" customFormat="false" ht="15" hidden="false" customHeight="false" outlineLevel="0" collapsed="false">
      <c r="A226" s="6" t="n">
        <v>313701</v>
      </c>
      <c r="B226" s="6" t="s">
        <v>412</v>
      </c>
      <c r="C226" s="6" t="s">
        <v>62</v>
      </c>
      <c r="D226" s="6" t="s">
        <v>46</v>
      </c>
      <c r="E226" s="6" t="s">
        <v>35</v>
      </c>
      <c r="F226" s="6" t="n">
        <v>10.878266</v>
      </c>
      <c r="G226" s="6" t="n">
        <v>76.187607</v>
      </c>
      <c r="H226" s="6" t="n">
        <v>1</v>
      </c>
      <c r="I226" s="6" t="n">
        <v>30</v>
      </c>
      <c r="J226" s="6" t="s">
        <v>36</v>
      </c>
      <c r="K226" s="7" t="b">
        <f aca="false">FALSE()</f>
        <v>0</v>
      </c>
    </row>
    <row r="227" customFormat="false" ht="15" hidden="false" customHeight="false" outlineLevel="0" collapsed="false">
      <c r="A227" s="6" t="n">
        <v>313700</v>
      </c>
      <c r="B227" s="6" t="s">
        <v>413</v>
      </c>
      <c r="C227" s="6" t="s">
        <v>285</v>
      </c>
      <c r="D227" s="6" t="s">
        <v>46</v>
      </c>
      <c r="E227" s="6" t="s">
        <v>35</v>
      </c>
      <c r="F227" s="6" t="n">
        <v>10.801586</v>
      </c>
      <c r="G227" s="6" t="n">
        <v>76.178408</v>
      </c>
      <c r="H227" s="6" t="n">
        <v>2</v>
      </c>
      <c r="I227" s="6" t="n">
        <v>60</v>
      </c>
      <c r="J227" s="6" t="s">
        <v>39</v>
      </c>
      <c r="K227" s="7" t="b">
        <f aca="false">TRUE()</f>
        <v>1</v>
      </c>
    </row>
    <row r="228" customFormat="false" ht="15" hidden="false" customHeight="false" outlineLevel="0" collapsed="false">
      <c r="A228" s="6" t="n">
        <v>313699</v>
      </c>
      <c r="B228" s="6" t="s">
        <v>414</v>
      </c>
      <c r="C228" s="6" t="s">
        <v>415</v>
      </c>
      <c r="D228" s="6" t="s">
        <v>46</v>
      </c>
      <c r="E228" s="6" t="s">
        <v>35</v>
      </c>
      <c r="F228" s="6" t="n">
        <v>10.758293</v>
      </c>
      <c r="G228" s="6" t="n">
        <v>76.130366</v>
      </c>
      <c r="H228" s="6" t="n">
        <v>1</v>
      </c>
      <c r="I228" s="6" t="n">
        <v>60</v>
      </c>
      <c r="J228" s="6" t="s">
        <v>39</v>
      </c>
      <c r="K228" s="7" t="b">
        <f aca="false">TRUE()</f>
        <v>1</v>
      </c>
    </row>
    <row r="229" customFormat="false" ht="15" hidden="false" customHeight="false" outlineLevel="0" collapsed="false">
      <c r="A229" s="6" t="n">
        <v>313698</v>
      </c>
      <c r="B229" s="6" t="s">
        <v>416</v>
      </c>
      <c r="C229" s="6" t="s">
        <v>417</v>
      </c>
      <c r="D229" s="6" t="s">
        <v>46</v>
      </c>
      <c r="E229" s="6" t="s">
        <v>35</v>
      </c>
      <c r="F229" s="6" t="n">
        <v>10.734552</v>
      </c>
      <c r="G229" s="6" t="n">
        <v>76.048647</v>
      </c>
      <c r="H229" s="6" t="n">
        <v>2</v>
      </c>
      <c r="I229" s="6" t="n">
        <v>60</v>
      </c>
      <c r="J229" s="6" t="s">
        <v>39</v>
      </c>
      <c r="K229" s="7" t="b">
        <f aca="false">TRUE()</f>
        <v>1</v>
      </c>
    </row>
    <row r="230" customFormat="false" ht="15" hidden="false" customHeight="false" outlineLevel="0" collapsed="false">
      <c r="A230" s="6" t="n">
        <v>313697</v>
      </c>
      <c r="B230" s="6" t="s">
        <v>418</v>
      </c>
      <c r="C230" s="6" t="s">
        <v>417</v>
      </c>
      <c r="D230" s="6" t="s">
        <v>46</v>
      </c>
      <c r="E230" s="6" t="s">
        <v>35</v>
      </c>
      <c r="F230" s="6" t="n">
        <v>10.732606</v>
      </c>
      <c r="G230" s="6" t="n">
        <v>76.03743</v>
      </c>
      <c r="H230" s="6" t="n">
        <v>1</v>
      </c>
      <c r="I230" s="6" t="n">
        <v>30</v>
      </c>
      <c r="J230" s="6" t="s">
        <v>36</v>
      </c>
      <c r="K230" s="7" t="b">
        <f aca="false">FALSE()</f>
        <v>0</v>
      </c>
    </row>
    <row r="231" customFormat="false" ht="15" hidden="false" customHeight="false" outlineLevel="0" collapsed="false">
      <c r="A231" s="6" t="n">
        <v>313696</v>
      </c>
      <c r="B231" s="6" t="s">
        <v>419</v>
      </c>
      <c r="C231" s="6" t="s">
        <v>420</v>
      </c>
      <c r="D231" s="6" t="s">
        <v>46</v>
      </c>
      <c r="E231" s="6" t="s">
        <v>35</v>
      </c>
      <c r="F231" s="6" t="n">
        <v>10.733824</v>
      </c>
      <c r="G231" s="6" t="n">
        <v>75.974813</v>
      </c>
      <c r="H231" s="6" t="n">
        <v>2</v>
      </c>
      <c r="I231" s="6" t="n">
        <v>30</v>
      </c>
      <c r="J231" s="6" t="s">
        <v>36</v>
      </c>
      <c r="K231" s="7" t="b">
        <f aca="false">FALSE()</f>
        <v>0</v>
      </c>
    </row>
    <row r="232" customFormat="false" ht="15" hidden="false" customHeight="false" outlineLevel="0" collapsed="false">
      <c r="A232" s="6" t="n">
        <v>313695</v>
      </c>
      <c r="B232" s="6" t="s">
        <v>421</v>
      </c>
      <c r="C232" s="6" t="s">
        <v>422</v>
      </c>
      <c r="D232" s="6" t="s">
        <v>46</v>
      </c>
      <c r="E232" s="6" t="s">
        <v>35</v>
      </c>
      <c r="F232" s="6" t="n">
        <v>10.784746</v>
      </c>
      <c r="G232" s="6" t="n">
        <v>75.947152</v>
      </c>
      <c r="H232" s="6" t="n">
        <v>1</v>
      </c>
      <c r="I232" s="6" t="n">
        <v>30</v>
      </c>
      <c r="J232" s="6" t="s">
        <v>36</v>
      </c>
      <c r="K232" s="7" t="b">
        <f aca="false">FALSE()</f>
        <v>0</v>
      </c>
    </row>
    <row r="233" customFormat="false" ht="15" hidden="false" customHeight="false" outlineLevel="0" collapsed="false">
      <c r="A233" s="6" t="n">
        <v>313694</v>
      </c>
      <c r="B233" s="6" t="s">
        <v>423</v>
      </c>
      <c r="C233" s="6" t="s">
        <v>424</v>
      </c>
      <c r="D233" s="6" t="s">
        <v>46</v>
      </c>
      <c r="E233" s="6" t="s">
        <v>35</v>
      </c>
      <c r="F233" s="6" t="n">
        <v>10.772703</v>
      </c>
      <c r="G233" s="6" t="n">
        <v>75.947152</v>
      </c>
      <c r="H233" s="6" t="n">
        <v>6</v>
      </c>
      <c r="I233" s="6" t="n">
        <v>30</v>
      </c>
      <c r="J233" s="6" t="s">
        <v>36</v>
      </c>
      <c r="K233" s="7" t="b">
        <f aca="false">FALSE()</f>
        <v>0</v>
      </c>
    </row>
    <row r="234" customFormat="false" ht="15" hidden="false" customHeight="false" outlineLevel="0" collapsed="false">
      <c r="A234" s="6" t="n">
        <v>313693</v>
      </c>
      <c r="B234" s="6" t="s">
        <v>402</v>
      </c>
      <c r="C234" s="6" t="s">
        <v>425</v>
      </c>
      <c r="D234" s="6" t="s">
        <v>46</v>
      </c>
      <c r="E234" s="6" t="s">
        <v>35</v>
      </c>
      <c r="F234" s="6" t="n">
        <v>10.681341</v>
      </c>
      <c r="G234" s="6" t="n">
        <v>76.16967</v>
      </c>
      <c r="H234" s="6" t="n">
        <v>2</v>
      </c>
      <c r="I234" s="6" t="n">
        <v>30</v>
      </c>
      <c r="J234" s="6" t="s">
        <v>36</v>
      </c>
      <c r="K234" s="7" t="b">
        <f aca="false">FALSE()</f>
        <v>0</v>
      </c>
    </row>
    <row r="235" customFormat="false" ht="15" hidden="false" customHeight="false" outlineLevel="0" collapsed="false">
      <c r="A235" s="6" t="n">
        <v>313692</v>
      </c>
      <c r="B235" s="6" t="s">
        <v>426</v>
      </c>
      <c r="C235" s="6" t="s">
        <v>427</v>
      </c>
      <c r="D235" s="6" t="s">
        <v>46</v>
      </c>
      <c r="E235" s="6" t="s">
        <v>35</v>
      </c>
      <c r="F235" s="6" t="n">
        <v>10.644411</v>
      </c>
      <c r="G235" s="6" t="n">
        <v>76.236652</v>
      </c>
      <c r="H235" s="6" t="n">
        <v>4</v>
      </c>
      <c r="I235" s="6" t="n">
        <v>60</v>
      </c>
      <c r="J235" s="6" t="s">
        <v>39</v>
      </c>
      <c r="K235" s="7" t="b">
        <f aca="false">TRUE()</f>
        <v>1</v>
      </c>
    </row>
    <row r="236" customFormat="false" ht="15" hidden="false" customHeight="false" outlineLevel="0" collapsed="false">
      <c r="A236" s="6" t="n">
        <v>313690</v>
      </c>
      <c r="B236" s="6" t="s">
        <v>428</v>
      </c>
      <c r="C236" s="6" t="s">
        <v>429</v>
      </c>
      <c r="D236" s="6" t="s">
        <v>46</v>
      </c>
      <c r="E236" s="6" t="s">
        <v>35</v>
      </c>
      <c r="F236" s="6" t="n">
        <v>10.616627</v>
      </c>
      <c r="G236" s="6" t="n">
        <v>76.125784</v>
      </c>
      <c r="H236" s="6" t="n">
        <v>3</v>
      </c>
      <c r="I236" s="6" t="n">
        <v>60</v>
      </c>
      <c r="J236" s="6" t="s">
        <v>39</v>
      </c>
      <c r="K236" s="7" t="b">
        <f aca="false">TRUE()</f>
        <v>1</v>
      </c>
    </row>
    <row r="237" customFormat="false" ht="15" hidden="false" customHeight="false" outlineLevel="0" collapsed="false">
      <c r="A237" s="6" t="n">
        <v>313688</v>
      </c>
      <c r="B237" s="6" t="s">
        <v>430</v>
      </c>
      <c r="C237" s="6" t="s">
        <v>431</v>
      </c>
      <c r="D237" s="6" t="s">
        <v>46</v>
      </c>
      <c r="E237" s="6" t="s">
        <v>35</v>
      </c>
      <c r="F237" s="6" t="n">
        <v>10.605824</v>
      </c>
      <c r="G237" s="6" t="n">
        <v>76.211788</v>
      </c>
      <c r="H237" s="6" t="n">
        <v>1</v>
      </c>
      <c r="I237" s="6" t="n">
        <v>30</v>
      </c>
      <c r="J237" s="6" t="s">
        <v>36</v>
      </c>
      <c r="K237" s="7" t="b">
        <f aca="false">FALSE()</f>
        <v>0</v>
      </c>
    </row>
    <row r="238" customFormat="false" ht="15" hidden="false" customHeight="false" outlineLevel="0" collapsed="false">
      <c r="A238" s="6" t="n">
        <v>313683</v>
      </c>
      <c r="B238" s="6" t="s">
        <v>432</v>
      </c>
      <c r="C238" s="6" t="s">
        <v>66</v>
      </c>
      <c r="D238" s="6" t="s">
        <v>46</v>
      </c>
      <c r="E238" s="6" t="s">
        <v>35</v>
      </c>
      <c r="F238" s="6" t="n">
        <v>10.540562</v>
      </c>
      <c r="G238" s="6" t="n">
        <v>76.215687</v>
      </c>
      <c r="H238" s="6" t="n">
        <v>2</v>
      </c>
      <c r="I238" s="6" t="n">
        <v>30</v>
      </c>
      <c r="J238" s="6" t="s">
        <v>36</v>
      </c>
      <c r="K238" s="7" t="b">
        <f aca="false">FALSE()</f>
        <v>0</v>
      </c>
    </row>
    <row r="239" customFormat="false" ht="15" hidden="false" customHeight="false" outlineLevel="0" collapsed="false">
      <c r="A239" s="6" t="n">
        <v>313682</v>
      </c>
      <c r="B239" s="6" t="s">
        <v>433</v>
      </c>
      <c r="C239" s="6" t="s">
        <v>66</v>
      </c>
      <c r="D239" s="6" t="s">
        <v>46</v>
      </c>
      <c r="E239" s="6" t="s">
        <v>35</v>
      </c>
      <c r="F239" s="6" t="n">
        <v>10.527795</v>
      </c>
      <c r="G239" s="6" t="n">
        <v>76.205344</v>
      </c>
      <c r="H239" s="6" t="n">
        <v>6</v>
      </c>
      <c r="I239" s="6" t="n">
        <v>30</v>
      </c>
      <c r="J239" s="6" t="s">
        <v>36</v>
      </c>
      <c r="K239" s="7" t="b">
        <f aca="false">FALSE()</f>
        <v>0</v>
      </c>
    </row>
    <row r="240" customFormat="false" ht="15" hidden="false" customHeight="false" outlineLevel="0" collapsed="false">
      <c r="A240" s="6" t="n">
        <v>313681</v>
      </c>
      <c r="B240" s="6" t="s">
        <v>434</v>
      </c>
      <c r="C240" s="6" t="s">
        <v>66</v>
      </c>
      <c r="D240" s="6" t="s">
        <v>46</v>
      </c>
      <c r="E240" s="6" t="s">
        <v>35</v>
      </c>
      <c r="F240" s="6" t="n">
        <v>10.521332</v>
      </c>
      <c r="G240" s="6" t="n">
        <v>76.230757</v>
      </c>
      <c r="H240" s="6" t="n">
        <v>2</v>
      </c>
      <c r="I240" s="6" t="n">
        <v>30</v>
      </c>
      <c r="J240" s="6" t="s">
        <v>36</v>
      </c>
      <c r="K240" s="7" t="b">
        <f aca="false">FALSE()</f>
        <v>0</v>
      </c>
    </row>
    <row r="241" customFormat="false" ht="15" hidden="false" customHeight="false" outlineLevel="0" collapsed="false">
      <c r="A241" s="6" t="n">
        <v>313679</v>
      </c>
      <c r="B241" s="6" t="s">
        <v>435</v>
      </c>
      <c r="C241" s="6" t="s">
        <v>66</v>
      </c>
      <c r="D241" s="6" t="s">
        <v>46</v>
      </c>
      <c r="E241" s="6" t="s">
        <v>35</v>
      </c>
      <c r="F241" s="6" t="n">
        <v>10.522036</v>
      </c>
      <c r="G241" s="6" t="n">
        <v>76.227569</v>
      </c>
      <c r="H241" s="6" t="n">
        <v>1</v>
      </c>
      <c r="I241" s="6" t="n">
        <v>30</v>
      </c>
      <c r="J241" s="6" t="s">
        <v>36</v>
      </c>
      <c r="K241" s="7" t="b">
        <f aca="false">FALSE()</f>
        <v>0</v>
      </c>
    </row>
    <row r="242" customFormat="false" ht="15" hidden="false" customHeight="false" outlineLevel="0" collapsed="false">
      <c r="A242" s="6" t="n">
        <v>313678</v>
      </c>
      <c r="B242" s="6" t="s">
        <v>436</v>
      </c>
      <c r="C242" s="6" t="s">
        <v>437</v>
      </c>
      <c r="D242" s="6" t="s">
        <v>46</v>
      </c>
      <c r="E242" s="6" t="s">
        <v>35</v>
      </c>
      <c r="F242" s="6" t="n">
        <v>10.511503</v>
      </c>
      <c r="G242" s="6" t="n">
        <v>76.221124</v>
      </c>
      <c r="H242" s="6" t="n">
        <v>1</v>
      </c>
      <c r="I242" s="6" t="n">
        <v>30</v>
      </c>
      <c r="J242" s="6" t="s">
        <v>36</v>
      </c>
      <c r="K242" s="7" t="b">
        <f aca="false">FALSE()</f>
        <v>0</v>
      </c>
    </row>
    <row r="243" customFormat="false" ht="15" hidden="false" customHeight="false" outlineLevel="0" collapsed="false">
      <c r="A243" s="6" t="n">
        <v>313677</v>
      </c>
      <c r="B243" s="6" t="s">
        <v>438</v>
      </c>
      <c r="C243" s="6" t="s">
        <v>66</v>
      </c>
      <c r="D243" s="6" t="s">
        <v>46</v>
      </c>
      <c r="E243" s="6" t="s">
        <v>35</v>
      </c>
      <c r="F243" s="6" t="n">
        <v>10.504452</v>
      </c>
      <c r="G243" s="6" t="n">
        <v>76.225341</v>
      </c>
      <c r="H243" s="6" t="n">
        <v>4</v>
      </c>
      <c r="I243" s="6" t="n">
        <v>30</v>
      </c>
      <c r="J243" s="6" t="s">
        <v>36</v>
      </c>
      <c r="K243" s="7" t="b">
        <f aca="false">FALSE()</f>
        <v>0</v>
      </c>
    </row>
    <row r="244" customFormat="false" ht="15" hidden="false" customHeight="false" outlineLevel="0" collapsed="false">
      <c r="A244" s="6" t="n">
        <v>313676</v>
      </c>
      <c r="B244" s="6" t="s">
        <v>439</v>
      </c>
      <c r="C244" s="6" t="s">
        <v>440</v>
      </c>
      <c r="D244" s="6" t="s">
        <v>46</v>
      </c>
      <c r="E244" s="6" t="s">
        <v>35</v>
      </c>
      <c r="F244" s="6" t="n">
        <v>10.497689</v>
      </c>
      <c r="G244" s="6" t="n">
        <v>76.064642</v>
      </c>
      <c r="H244" s="6" t="n">
        <v>1</v>
      </c>
      <c r="I244" s="6" t="n">
        <v>30</v>
      </c>
      <c r="J244" s="6" t="s">
        <v>36</v>
      </c>
      <c r="K244" s="7" t="b">
        <f aca="false">FALSE()</f>
        <v>0</v>
      </c>
    </row>
    <row r="245" customFormat="false" ht="15" hidden="false" customHeight="false" outlineLevel="0" collapsed="false">
      <c r="A245" s="6" t="n">
        <v>313675</v>
      </c>
      <c r="B245" s="6" t="s">
        <v>441</v>
      </c>
      <c r="C245" s="6" t="s">
        <v>442</v>
      </c>
      <c r="D245" s="6" t="s">
        <v>46</v>
      </c>
      <c r="E245" s="6" t="s">
        <v>35</v>
      </c>
      <c r="F245" s="6" t="n">
        <v>10.431569</v>
      </c>
      <c r="G245" s="6" t="n">
        <v>76.14256</v>
      </c>
      <c r="H245" s="6" t="n">
        <v>2</v>
      </c>
      <c r="I245" s="6" t="n">
        <v>30</v>
      </c>
      <c r="J245" s="6" t="s">
        <v>36</v>
      </c>
      <c r="K245" s="7" t="b">
        <f aca="false">FALSE()</f>
        <v>0</v>
      </c>
    </row>
    <row r="246" customFormat="false" ht="15" hidden="false" customHeight="false" outlineLevel="0" collapsed="false">
      <c r="A246" s="6" t="n">
        <v>313673</v>
      </c>
      <c r="B246" s="6" t="s">
        <v>443</v>
      </c>
      <c r="C246" s="6" t="s">
        <v>444</v>
      </c>
      <c r="D246" s="6" t="s">
        <v>46</v>
      </c>
      <c r="E246" s="6" t="s">
        <v>35</v>
      </c>
      <c r="F246" s="6" t="n">
        <v>10.401732</v>
      </c>
      <c r="G246" s="6" t="n">
        <v>76.119335</v>
      </c>
      <c r="H246" s="6" t="n">
        <v>6</v>
      </c>
      <c r="I246" s="6" t="n">
        <v>30</v>
      </c>
      <c r="J246" s="6" t="s">
        <v>36</v>
      </c>
      <c r="K246" s="7" t="b">
        <f aca="false">FALSE()</f>
        <v>0</v>
      </c>
    </row>
    <row r="247" customFormat="false" ht="15" hidden="false" customHeight="false" outlineLevel="0" collapsed="false">
      <c r="A247" s="6" t="n">
        <v>313672</v>
      </c>
      <c r="B247" s="6" t="s">
        <v>445</v>
      </c>
      <c r="C247" s="6" t="s">
        <v>446</v>
      </c>
      <c r="D247" s="6" t="s">
        <v>46</v>
      </c>
      <c r="E247" s="6" t="s">
        <v>35</v>
      </c>
      <c r="F247" s="6" t="n">
        <v>10.402438</v>
      </c>
      <c r="G247" s="6" t="n">
        <v>76.112633</v>
      </c>
      <c r="H247" s="6" t="n">
        <v>2</v>
      </c>
      <c r="I247" s="6" t="n">
        <v>60</v>
      </c>
      <c r="J247" s="6" t="s">
        <v>39</v>
      </c>
      <c r="K247" s="7" t="b">
        <f aca="false">TRUE()</f>
        <v>1</v>
      </c>
    </row>
    <row r="248" customFormat="false" ht="15" hidden="false" customHeight="false" outlineLevel="0" collapsed="false">
      <c r="A248" s="6" t="n">
        <v>313671</v>
      </c>
      <c r="B248" s="6" t="s">
        <v>416</v>
      </c>
      <c r="C248" s="6" t="s">
        <v>447</v>
      </c>
      <c r="D248" s="6" t="s">
        <v>46</v>
      </c>
      <c r="E248" s="6" t="s">
        <v>35</v>
      </c>
      <c r="F248" s="6" t="n">
        <v>10.408947</v>
      </c>
      <c r="G248" s="6" t="n">
        <v>76.214011</v>
      </c>
      <c r="H248" s="6" t="n">
        <v>2</v>
      </c>
      <c r="I248" s="6" t="n">
        <v>60</v>
      </c>
      <c r="J248" s="6" t="s">
        <v>39</v>
      </c>
      <c r="K248" s="7" t="b">
        <f aca="false">TRUE()</f>
        <v>1</v>
      </c>
    </row>
    <row r="249" customFormat="false" ht="15" hidden="false" customHeight="false" outlineLevel="0" collapsed="false">
      <c r="A249" s="6" t="n">
        <v>313670</v>
      </c>
      <c r="B249" s="6" t="s">
        <v>448</v>
      </c>
      <c r="C249" s="6" t="s">
        <v>449</v>
      </c>
      <c r="D249" s="6" t="s">
        <v>46</v>
      </c>
      <c r="E249" s="6" t="s">
        <v>35</v>
      </c>
      <c r="F249" s="6" t="n">
        <v>10.331423</v>
      </c>
      <c r="G249" s="6" t="n">
        <v>76.215261</v>
      </c>
      <c r="H249" s="6" t="n">
        <v>1</v>
      </c>
      <c r="I249" s="6" t="n">
        <v>30</v>
      </c>
      <c r="J249" s="6" t="s">
        <v>36</v>
      </c>
      <c r="K249" s="7" t="b">
        <f aca="false">FALSE()</f>
        <v>0</v>
      </c>
    </row>
    <row r="250" customFormat="false" ht="15" hidden="false" customHeight="false" outlineLevel="0" collapsed="false">
      <c r="A250" s="6" t="n">
        <v>313669</v>
      </c>
      <c r="B250" s="6" t="s">
        <v>450</v>
      </c>
      <c r="C250" s="6" t="s">
        <v>451</v>
      </c>
      <c r="D250" s="6" t="s">
        <v>46</v>
      </c>
      <c r="E250" s="6" t="s">
        <v>35</v>
      </c>
      <c r="F250" s="6" t="n">
        <v>10.593403</v>
      </c>
      <c r="G250" s="6" t="n">
        <v>76.583525</v>
      </c>
      <c r="H250" s="6" t="n">
        <v>1</v>
      </c>
      <c r="I250" s="6" t="n">
        <v>30</v>
      </c>
      <c r="J250" s="6" t="s">
        <v>36</v>
      </c>
      <c r="K250" s="7" t="b">
        <f aca="false">FALSE()</f>
        <v>0</v>
      </c>
    </row>
    <row r="251" customFormat="false" ht="15" hidden="false" customHeight="false" outlineLevel="0" collapsed="false">
      <c r="A251" s="6" t="n">
        <v>313667</v>
      </c>
      <c r="B251" s="6" t="s">
        <v>452</v>
      </c>
      <c r="C251" s="6" t="s">
        <v>453</v>
      </c>
      <c r="D251" s="6" t="s">
        <v>46</v>
      </c>
      <c r="E251" s="6" t="s">
        <v>35</v>
      </c>
      <c r="F251" s="6" t="n">
        <v>10.597238</v>
      </c>
      <c r="G251" s="6" t="n">
        <v>76.479849</v>
      </c>
      <c r="H251" s="6" t="n">
        <v>6</v>
      </c>
      <c r="I251" s="6" t="n">
        <v>30</v>
      </c>
      <c r="J251" s="6" t="s">
        <v>36</v>
      </c>
      <c r="K251" s="7" t="b">
        <f aca="false">FALSE()</f>
        <v>0</v>
      </c>
    </row>
    <row r="252" customFormat="false" ht="15" hidden="false" customHeight="false" outlineLevel="0" collapsed="false">
      <c r="A252" s="6" t="n">
        <v>313665</v>
      </c>
      <c r="B252" s="6" t="s">
        <v>409</v>
      </c>
      <c r="C252" s="6" t="s">
        <v>277</v>
      </c>
      <c r="D252" s="6" t="s">
        <v>46</v>
      </c>
      <c r="E252" s="6" t="s">
        <v>35</v>
      </c>
      <c r="F252" s="6" t="n">
        <v>10.591957</v>
      </c>
      <c r="G252" s="6" t="n">
        <v>76.465712</v>
      </c>
      <c r="H252" s="6" t="n">
        <v>2</v>
      </c>
      <c r="I252" s="6" t="n">
        <v>30</v>
      </c>
      <c r="J252" s="6" t="s">
        <v>36</v>
      </c>
      <c r="K252" s="7" t="b">
        <f aca="false">FALSE()</f>
        <v>0</v>
      </c>
    </row>
    <row r="253" customFormat="false" ht="15" hidden="false" customHeight="false" outlineLevel="0" collapsed="false">
      <c r="A253" s="6" t="n">
        <v>313662</v>
      </c>
      <c r="B253" s="6" t="s">
        <v>454</v>
      </c>
      <c r="C253" s="6" t="s">
        <v>455</v>
      </c>
      <c r="D253" s="6" t="s">
        <v>46</v>
      </c>
      <c r="E253" s="6" t="s">
        <v>35</v>
      </c>
      <c r="F253" s="6" t="n">
        <v>10.476827</v>
      </c>
      <c r="G253" s="6" t="n">
        <v>76.257582</v>
      </c>
      <c r="H253" s="6" t="n">
        <v>3</v>
      </c>
      <c r="I253" s="6" t="n">
        <v>60</v>
      </c>
      <c r="J253" s="6" t="s">
        <v>39</v>
      </c>
      <c r="K253" s="7" t="b">
        <f aca="false">TRUE()</f>
        <v>1</v>
      </c>
    </row>
    <row r="254" customFormat="false" ht="15" hidden="false" customHeight="false" outlineLevel="0" collapsed="false">
      <c r="A254" s="6" t="n">
        <v>313661</v>
      </c>
      <c r="B254" s="6" t="s">
        <v>456</v>
      </c>
      <c r="C254" s="6" t="s">
        <v>64</v>
      </c>
      <c r="D254" s="6" t="s">
        <v>46</v>
      </c>
      <c r="E254" s="6" t="s">
        <v>35</v>
      </c>
      <c r="F254" s="6" t="n">
        <v>10.433892</v>
      </c>
      <c r="G254" s="6" t="n">
        <v>76.265149</v>
      </c>
      <c r="H254" s="6" t="n">
        <v>2</v>
      </c>
      <c r="I254" s="6" t="n">
        <v>60</v>
      </c>
      <c r="J254" s="6" t="s">
        <v>39</v>
      </c>
      <c r="K254" s="7" t="b">
        <f aca="false">TRUE()</f>
        <v>1</v>
      </c>
    </row>
    <row r="255" customFormat="false" ht="15" hidden="false" customHeight="false" outlineLevel="0" collapsed="false">
      <c r="A255" s="6" t="n">
        <v>313659</v>
      </c>
      <c r="B255" s="6" t="s">
        <v>457</v>
      </c>
      <c r="C255" s="6" t="s">
        <v>458</v>
      </c>
      <c r="D255" s="6" t="s">
        <v>46</v>
      </c>
      <c r="E255" s="6" t="s">
        <v>35</v>
      </c>
      <c r="F255" s="6" t="n">
        <v>10.380661</v>
      </c>
      <c r="G255" s="6" t="n">
        <v>76.297686</v>
      </c>
      <c r="H255" s="6" t="n">
        <v>2</v>
      </c>
      <c r="I255" s="6" t="n">
        <v>60</v>
      </c>
      <c r="J255" s="6" t="s">
        <v>39</v>
      </c>
      <c r="K255" s="7" t="b">
        <f aca="false">TRUE()</f>
        <v>1</v>
      </c>
    </row>
    <row r="256" customFormat="false" ht="15" hidden="false" customHeight="false" outlineLevel="0" collapsed="false">
      <c r="A256" s="6" t="n">
        <v>313658</v>
      </c>
      <c r="B256" s="6" t="s">
        <v>459</v>
      </c>
      <c r="C256" s="6" t="s">
        <v>66</v>
      </c>
      <c r="D256" s="6" t="s">
        <v>46</v>
      </c>
      <c r="E256" s="6" t="s">
        <v>35</v>
      </c>
      <c r="F256" s="6" t="n">
        <v>10.367048</v>
      </c>
      <c r="G256" s="6" t="n">
        <v>76.315357</v>
      </c>
      <c r="H256" s="6" t="n">
        <v>1</v>
      </c>
      <c r="I256" s="6" t="n">
        <v>30</v>
      </c>
      <c r="J256" s="6" t="s">
        <v>36</v>
      </c>
      <c r="K256" s="7" t="b">
        <f aca="false">FALSE()</f>
        <v>0</v>
      </c>
    </row>
    <row r="257" customFormat="false" ht="15" hidden="false" customHeight="false" outlineLevel="0" collapsed="false">
      <c r="A257" s="6" t="n">
        <v>313656</v>
      </c>
      <c r="B257" s="6" t="s">
        <v>402</v>
      </c>
      <c r="C257" s="6" t="s">
        <v>460</v>
      </c>
      <c r="D257" s="6" t="s">
        <v>46</v>
      </c>
      <c r="E257" s="6" t="s">
        <v>35</v>
      </c>
      <c r="F257" s="6" t="n">
        <v>10.339609</v>
      </c>
      <c r="G257" s="6" t="n">
        <v>76.321746</v>
      </c>
      <c r="H257" s="6" t="n">
        <v>2</v>
      </c>
      <c r="I257" s="6" t="n">
        <v>60</v>
      </c>
      <c r="J257" s="6" t="s">
        <v>39</v>
      </c>
      <c r="K257" s="7" t="b">
        <f aca="false">TRUE()</f>
        <v>1</v>
      </c>
    </row>
    <row r="258" customFormat="false" ht="15" hidden="false" customHeight="false" outlineLevel="0" collapsed="false">
      <c r="A258" s="6" t="n">
        <v>313655</v>
      </c>
      <c r="B258" s="6" t="s">
        <v>461</v>
      </c>
      <c r="C258" s="6" t="s">
        <v>460</v>
      </c>
      <c r="D258" s="6" t="s">
        <v>46</v>
      </c>
      <c r="E258" s="6" t="s">
        <v>35</v>
      </c>
      <c r="F258" s="6" t="n">
        <v>10.303102</v>
      </c>
      <c r="G258" s="6" t="n">
        <v>76.337042</v>
      </c>
      <c r="H258" s="6" t="n">
        <v>1</v>
      </c>
      <c r="I258" s="6" t="n">
        <v>30</v>
      </c>
      <c r="J258" s="6" t="s">
        <v>36</v>
      </c>
      <c r="K258" s="7" t="b">
        <f aca="false">FALSE()</f>
        <v>0</v>
      </c>
    </row>
    <row r="259" customFormat="false" ht="15" hidden="false" customHeight="false" outlineLevel="0" collapsed="false">
      <c r="A259" s="6" t="n">
        <v>313654</v>
      </c>
      <c r="B259" s="6" t="s">
        <v>462</v>
      </c>
      <c r="C259" s="6" t="s">
        <v>463</v>
      </c>
      <c r="D259" s="6" t="s">
        <v>46</v>
      </c>
      <c r="E259" s="6" t="s">
        <v>35</v>
      </c>
      <c r="F259" s="6" t="n">
        <v>10.289343</v>
      </c>
      <c r="G259" s="6" t="n">
        <v>76.337068</v>
      </c>
      <c r="H259" s="6" t="n">
        <v>1</v>
      </c>
      <c r="I259" s="6" t="n">
        <v>30</v>
      </c>
      <c r="J259" s="6" t="s">
        <v>36</v>
      </c>
      <c r="K259" s="7" t="b">
        <f aca="false">FALSE()</f>
        <v>0</v>
      </c>
    </row>
    <row r="260" customFormat="false" ht="15" hidden="false" customHeight="false" outlineLevel="0" collapsed="false">
      <c r="A260" s="6" t="n">
        <v>313653</v>
      </c>
      <c r="B260" s="6" t="s">
        <v>464</v>
      </c>
      <c r="C260" s="6" t="s">
        <v>463</v>
      </c>
      <c r="D260" s="6" t="s">
        <v>46</v>
      </c>
      <c r="E260" s="6" t="s">
        <v>35</v>
      </c>
      <c r="F260" s="6" t="n">
        <v>10.285574</v>
      </c>
      <c r="G260" s="6" t="n">
        <v>76.342378</v>
      </c>
      <c r="H260" s="6" t="n">
        <v>1</v>
      </c>
      <c r="I260" s="6" t="n">
        <v>30</v>
      </c>
      <c r="J260" s="6" t="s">
        <v>36</v>
      </c>
      <c r="K260" s="7" t="b">
        <f aca="false">FALSE()</f>
        <v>0</v>
      </c>
    </row>
    <row r="261" customFormat="false" ht="15" hidden="false" customHeight="false" outlineLevel="0" collapsed="false">
      <c r="A261" s="6" t="n">
        <v>313650</v>
      </c>
      <c r="B261" s="6" t="s">
        <v>465</v>
      </c>
      <c r="C261" s="6" t="s">
        <v>466</v>
      </c>
      <c r="D261" s="6" t="s">
        <v>46</v>
      </c>
      <c r="E261" s="6" t="s">
        <v>35</v>
      </c>
      <c r="F261" s="6" t="n">
        <v>10.28604</v>
      </c>
      <c r="G261" s="6" t="n">
        <v>76.558516</v>
      </c>
      <c r="H261" s="6" t="n">
        <v>2</v>
      </c>
      <c r="I261" s="6" t="n">
        <v>30</v>
      </c>
      <c r="J261" s="6" t="s">
        <v>36</v>
      </c>
      <c r="K261" s="7" t="b">
        <f aca="false">FALSE()</f>
        <v>0</v>
      </c>
    </row>
    <row r="262" customFormat="false" ht="15" hidden="false" customHeight="false" outlineLevel="0" collapsed="false">
      <c r="A262" s="6" t="n">
        <v>313649</v>
      </c>
      <c r="B262" s="6" t="s">
        <v>467</v>
      </c>
      <c r="C262" s="6" t="s">
        <v>56</v>
      </c>
      <c r="D262" s="6" t="s">
        <v>46</v>
      </c>
      <c r="E262" s="6" t="s">
        <v>35</v>
      </c>
      <c r="F262" s="6" t="n">
        <v>10.214061</v>
      </c>
      <c r="G262" s="6" t="n">
        <v>76.379367</v>
      </c>
      <c r="H262" s="6" t="n">
        <v>1</v>
      </c>
      <c r="I262" s="6" t="n">
        <v>30</v>
      </c>
      <c r="J262" s="6" t="s">
        <v>36</v>
      </c>
      <c r="K262" s="7" t="b">
        <f aca="false">FALSE()</f>
        <v>0</v>
      </c>
    </row>
    <row r="263" customFormat="false" ht="15" hidden="false" customHeight="false" outlineLevel="0" collapsed="false">
      <c r="A263" s="6" t="n">
        <v>313648</v>
      </c>
      <c r="B263" s="6" t="s">
        <v>468</v>
      </c>
      <c r="C263" s="6" t="s">
        <v>56</v>
      </c>
      <c r="D263" s="6" t="s">
        <v>46</v>
      </c>
      <c r="E263" s="6" t="s">
        <v>35</v>
      </c>
      <c r="F263" s="6" t="n">
        <v>10.197144</v>
      </c>
      <c r="G263" s="6" t="n">
        <v>76.38411</v>
      </c>
      <c r="H263" s="6" t="n">
        <v>2</v>
      </c>
      <c r="I263" s="6" t="n">
        <v>30</v>
      </c>
      <c r="J263" s="6" t="s">
        <v>36</v>
      </c>
      <c r="K263" s="7" t="b">
        <f aca="false">FALSE()</f>
        <v>0</v>
      </c>
    </row>
    <row r="264" customFormat="false" ht="15" hidden="false" customHeight="false" outlineLevel="0" collapsed="false">
      <c r="A264" s="6" t="n">
        <v>313647</v>
      </c>
      <c r="B264" s="6" t="s">
        <v>469</v>
      </c>
      <c r="C264" s="6" t="s">
        <v>56</v>
      </c>
      <c r="D264" s="6" t="s">
        <v>46</v>
      </c>
      <c r="E264" s="6" t="s">
        <v>35</v>
      </c>
      <c r="F264" s="6" t="n">
        <v>10.189753</v>
      </c>
      <c r="G264" s="6" t="n">
        <v>76.386642</v>
      </c>
      <c r="H264" s="6" t="n">
        <v>2</v>
      </c>
      <c r="I264" s="6" t="n">
        <v>50</v>
      </c>
      <c r="J264" s="6" t="s">
        <v>39</v>
      </c>
      <c r="K264" s="7" t="b">
        <f aca="false">TRUE()</f>
        <v>1</v>
      </c>
    </row>
    <row r="265" customFormat="false" ht="15" hidden="false" customHeight="false" outlineLevel="0" collapsed="false">
      <c r="A265" s="6" t="n">
        <v>313646</v>
      </c>
      <c r="B265" s="6" t="s">
        <v>470</v>
      </c>
      <c r="C265" s="6" t="s">
        <v>51</v>
      </c>
      <c r="D265" s="6" t="s">
        <v>46</v>
      </c>
      <c r="E265" s="6" t="s">
        <v>35</v>
      </c>
      <c r="F265" s="6" t="n">
        <v>10.169552</v>
      </c>
      <c r="G265" s="6" t="n">
        <v>76.372256</v>
      </c>
      <c r="H265" s="6" t="n">
        <v>6</v>
      </c>
      <c r="I265" s="6" t="n">
        <v>60</v>
      </c>
      <c r="J265" s="6" t="s">
        <v>39</v>
      </c>
      <c r="K265" s="7" t="b">
        <f aca="false">TRUE()</f>
        <v>1</v>
      </c>
    </row>
    <row r="266" customFormat="false" ht="15" hidden="false" customHeight="false" outlineLevel="0" collapsed="false">
      <c r="A266" s="6" t="n">
        <v>313645</v>
      </c>
      <c r="B266" s="6" t="s">
        <v>471</v>
      </c>
      <c r="C266" s="6" t="s">
        <v>51</v>
      </c>
      <c r="D266" s="6" t="s">
        <v>46</v>
      </c>
      <c r="E266" s="6" t="s">
        <v>35</v>
      </c>
      <c r="F266" s="6" t="n">
        <v>10.156586</v>
      </c>
      <c r="G266" s="6" t="n">
        <v>76.391932</v>
      </c>
      <c r="H266" s="6" t="n">
        <v>4</v>
      </c>
      <c r="I266" s="6" t="n">
        <v>30</v>
      </c>
      <c r="J266" s="6" t="s">
        <v>36</v>
      </c>
      <c r="K266" s="7" t="b">
        <f aca="false">FALSE()</f>
        <v>0</v>
      </c>
    </row>
    <row r="267" customFormat="false" ht="15" hidden="false" customHeight="false" outlineLevel="0" collapsed="false">
      <c r="A267" s="6" t="n">
        <v>313644</v>
      </c>
      <c r="B267" s="6" t="s">
        <v>472</v>
      </c>
      <c r="C267" s="6" t="s">
        <v>51</v>
      </c>
      <c r="D267" s="6" t="s">
        <v>46</v>
      </c>
      <c r="E267" s="6" t="s">
        <v>35</v>
      </c>
      <c r="F267" s="6" t="n">
        <v>10.156868</v>
      </c>
      <c r="G267" s="6" t="n">
        <v>76.38898</v>
      </c>
      <c r="H267" s="6" t="n">
        <v>4</v>
      </c>
      <c r="I267" s="6" t="n">
        <v>30</v>
      </c>
      <c r="J267" s="6" t="s">
        <v>36</v>
      </c>
      <c r="K267" s="7" t="b">
        <f aca="false">FALSE()</f>
        <v>0</v>
      </c>
    </row>
    <row r="268" customFormat="false" ht="15" hidden="false" customHeight="false" outlineLevel="0" collapsed="false">
      <c r="A268" s="6" t="n">
        <v>313643</v>
      </c>
      <c r="B268" s="6" t="s">
        <v>473</v>
      </c>
      <c r="C268" s="6" t="s">
        <v>51</v>
      </c>
      <c r="D268" s="6" t="s">
        <v>46</v>
      </c>
      <c r="E268" s="6" t="s">
        <v>35</v>
      </c>
      <c r="F268" s="6" t="n">
        <v>10.159914</v>
      </c>
      <c r="G268" s="6" t="n">
        <v>76.389158</v>
      </c>
      <c r="H268" s="6" t="n">
        <v>1</v>
      </c>
      <c r="I268" s="6" t="n">
        <v>30</v>
      </c>
      <c r="J268" s="6" t="s">
        <v>36</v>
      </c>
      <c r="K268" s="7" t="b">
        <f aca="false">FALSE()</f>
        <v>0</v>
      </c>
    </row>
    <row r="269" customFormat="false" ht="15" hidden="false" customHeight="false" outlineLevel="0" collapsed="false">
      <c r="A269" s="6" t="n">
        <v>313642</v>
      </c>
      <c r="B269" s="6" t="s">
        <v>474</v>
      </c>
      <c r="C269" s="6" t="s">
        <v>51</v>
      </c>
      <c r="D269" s="6" t="s">
        <v>46</v>
      </c>
      <c r="E269" s="6" t="s">
        <v>35</v>
      </c>
      <c r="F269" s="6" t="n">
        <v>10.161062</v>
      </c>
      <c r="G269" s="6" t="n">
        <v>76.385631</v>
      </c>
      <c r="H269" s="6" t="n">
        <v>1</v>
      </c>
      <c r="I269" s="6" t="n">
        <v>25</v>
      </c>
      <c r="J269" s="6" t="s">
        <v>36</v>
      </c>
      <c r="K269" s="7" t="b">
        <f aca="false">FALSE()</f>
        <v>0</v>
      </c>
    </row>
    <row r="270" customFormat="false" ht="15" hidden="false" customHeight="false" outlineLevel="0" collapsed="false">
      <c r="A270" s="6" t="n">
        <v>313641</v>
      </c>
      <c r="B270" s="6" t="s">
        <v>475</v>
      </c>
      <c r="C270" s="6" t="s">
        <v>51</v>
      </c>
      <c r="D270" s="6" t="s">
        <v>46</v>
      </c>
      <c r="E270" s="6" t="s">
        <v>35</v>
      </c>
      <c r="F270" s="6" t="n">
        <v>10.159295</v>
      </c>
      <c r="G270" s="6" t="n">
        <v>76.378523</v>
      </c>
      <c r="H270" s="6" t="n">
        <v>1</v>
      </c>
      <c r="I270" s="6" t="n">
        <v>30</v>
      </c>
      <c r="J270" s="6" t="s">
        <v>36</v>
      </c>
      <c r="K270" s="7" t="b">
        <f aca="false">FALSE()</f>
        <v>0</v>
      </c>
    </row>
    <row r="271" customFormat="false" ht="15" hidden="false" customHeight="false" outlineLevel="0" collapsed="false">
      <c r="A271" s="6" t="n">
        <v>313640</v>
      </c>
      <c r="B271" s="6" t="s">
        <v>476</v>
      </c>
      <c r="C271" s="6" t="s">
        <v>477</v>
      </c>
      <c r="D271" s="6" t="s">
        <v>46</v>
      </c>
      <c r="E271" s="6" t="s">
        <v>35</v>
      </c>
      <c r="F271" s="6" t="n">
        <v>10.145633</v>
      </c>
      <c r="G271" s="6" t="n">
        <v>76.256904</v>
      </c>
      <c r="H271" s="6" t="n">
        <v>5</v>
      </c>
      <c r="I271" s="6" t="n">
        <v>30</v>
      </c>
      <c r="J271" s="6" t="s">
        <v>36</v>
      </c>
      <c r="K271" s="7" t="b">
        <f aca="false">FALSE()</f>
        <v>0</v>
      </c>
    </row>
    <row r="272" customFormat="false" ht="15" hidden="false" customHeight="false" outlineLevel="0" collapsed="false">
      <c r="A272" s="6" t="n">
        <v>313639</v>
      </c>
      <c r="B272" s="6" t="s">
        <v>478</v>
      </c>
      <c r="C272" s="6" t="s">
        <v>479</v>
      </c>
      <c r="D272" s="6" t="s">
        <v>46</v>
      </c>
      <c r="E272" s="6" t="s">
        <v>35</v>
      </c>
      <c r="F272" s="6" t="n">
        <v>10.154913</v>
      </c>
      <c r="G272" s="6" t="n">
        <v>76.286014</v>
      </c>
      <c r="H272" s="6" t="n">
        <v>2</v>
      </c>
      <c r="I272" s="6" t="n">
        <v>30</v>
      </c>
      <c r="J272" s="6" t="s">
        <v>36</v>
      </c>
      <c r="K272" s="7" t="b">
        <f aca="false">FALSE()</f>
        <v>0</v>
      </c>
    </row>
    <row r="273" customFormat="false" ht="15" hidden="false" customHeight="false" outlineLevel="0" collapsed="false">
      <c r="A273" s="6" t="n">
        <v>313638</v>
      </c>
      <c r="B273" s="6" t="s">
        <v>480</v>
      </c>
      <c r="C273" s="6" t="s">
        <v>49</v>
      </c>
      <c r="D273" s="6" t="s">
        <v>46</v>
      </c>
      <c r="E273" s="6" t="s">
        <v>35</v>
      </c>
      <c r="F273" s="6" t="n">
        <v>10.08156</v>
      </c>
      <c r="G273" s="6" t="n">
        <v>76.339867</v>
      </c>
      <c r="H273" s="6" t="n">
        <v>1</v>
      </c>
      <c r="I273" s="6" t="n">
        <v>30</v>
      </c>
      <c r="J273" s="6" t="s">
        <v>36</v>
      </c>
      <c r="K273" s="7" t="b">
        <f aca="false">FALSE()</f>
        <v>0</v>
      </c>
    </row>
    <row r="274" customFormat="false" ht="15" hidden="false" customHeight="false" outlineLevel="0" collapsed="false">
      <c r="A274" s="6" t="n">
        <v>313637</v>
      </c>
      <c r="B274" s="6" t="s">
        <v>481</v>
      </c>
      <c r="C274" s="6" t="s">
        <v>482</v>
      </c>
      <c r="D274" s="6" t="s">
        <v>46</v>
      </c>
      <c r="E274" s="6" t="s">
        <v>35</v>
      </c>
      <c r="F274" s="6" t="n">
        <v>10.077284</v>
      </c>
      <c r="G274" s="6" t="n">
        <v>76.337641</v>
      </c>
      <c r="H274" s="6" t="n">
        <v>2</v>
      </c>
      <c r="I274" s="6" t="n">
        <v>60</v>
      </c>
      <c r="J274" s="6" t="s">
        <v>39</v>
      </c>
      <c r="K274" s="7" t="b">
        <f aca="false">TRUE()</f>
        <v>1</v>
      </c>
    </row>
    <row r="275" customFormat="false" ht="15" hidden="false" customHeight="false" outlineLevel="0" collapsed="false">
      <c r="A275" s="6" t="n">
        <v>313636</v>
      </c>
      <c r="B275" s="6" t="s">
        <v>483</v>
      </c>
      <c r="C275" s="6" t="s">
        <v>484</v>
      </c>
      <c r="D275" s="6" t="s">
        <v>46</v>
      </c>
      <c r="E275" s="6" t="s">
        <v>35</v>
      </c>
      <c r="F275" s="6" t="n">
        <v>10.040434</v>
      </c>
      <c r="G275" s="6" t="n">
        <v>76.338524</v>
      </c>
      <c r="H275" s="6" t="n">
        <v>1</v>
      </c>
      <c r="I275" s="6" t="n">
        <v>30</v>
      </c>
      <c r="J275" s="6" t="s">
        <v>36</v>
      </c>
      <c r="K275" s="7" t="b">
        <f aca="false">FALSE()</f>
        <v>0</v>
      </c>
    </row>
    <row r="276" customFormat="false" ht="15" hidden="false" customHeight="false" outlineLevel="0" collapsed="false">
      <c r="A276" s="6" t="n">
        <v>313635</v>
      </c>
      <c r="B276" s="6" t="s">
        <v>485</v>
      </c>
      <c r="C276" s="6" t="s">
        <v>484</v>
      </c>
      <c r="D276" s="6" t="s">
        <v>46</v>
      </c>
      <c r="E276" s="6" t="s">
        <v>35</v>
      </c>
      <c r="F276" s="6" t="n">
        <v>10.05377</v>
      </c>
      <c r="G276" s="6" t="n">
        <v>76.330868</v>
      </c>
      <c r="H276" s="6" t="n">
        <v>6</v>
      </c>
      <c r="I276" s="6" t="n">
        <v>30</v>
      </c>
      <c r="J276" s="6" t="s">
        <v>36</v>
      </c>
      <c r="K276" s="7" t="b">
        <f aca="false">FALSE()</f>
        <v>0</v>
      </c>
    </row>
    <row r="277" customFormat="false" ht="15" hidden="false" customHeight="false" outlineLevel="0" collapsed="false">
      <c r="A277" s="6" t="n">
        <v>313634</v>
      </c>
      <c r="B277" s="6" t="s">
        <v>486</v>
      </c>
      <c r="C277" s="6" t="s">
        <v>484</v>
      </c>
      <c r="D277" s="6" t="s">
        <v>46</v>
      </c>
      <c r="E277" s="6" t="s">
        <v>35</v>
      </c>
      <c r="F277" s="6" t="n">
        <v>10.052459</v>
      </c>
      <c r="G277" s="6" t="n">
        <v>76.314656</v>
      </c>
      <c r="H277" s="6" t="n">
        <v>3</v>
      </c>
      <c r="I277" s="6" t="n">
        <v>30</v>
      </c>
      <c r="J277" s="6" t="s">
        <v>36</v>
      </c>
      <c r="K277" s="7" t="b">
        <f aca="false">FALSE()</f>
        <v>0</v>
      </c>
    </row>
    <row r="278" customFormat="false" ht="15" hidden="false" customHeight="false" outlineLevel="0" collapsed="false">
      <c r="A278" s="6" t="n">
        <v>313633</v>
      </c>
      <c r="B278" s="6" t="s">
        <v>487</v>
      </c>
      <c r="C278" s="6" t="s">
        <v>45</v>
      </c>
      <c r="D278" s="6" t="s">
        <v>46</v>
      </c>
      <c r="E278" s="6" t="s">
        <v>35</v>
      </c>
      <c r="F278" s="6" t="n">
        <v>10.027761</v>
      </c>
      <c r="G278" s="6" t="n">
        <v>76.311174</v>
      </c>
      <c r="H278" s="6" t="n">
        <v>2</v>
      </c>
      <c r="I278" s="6" t="n">
        <v>30</v>
      </c>
      <c r="J278" s="6" t="s">
        <v>36</v>
      </c>
      <c r="K278" s="7" t="b">
        <f aca="false">FALSE()</f>
        <v>0</v>
      </c>
    </row>
    <row r="279" customFormat="false" ht="15" hidden="false" customHeight="false" outlineLevel="0" collapsed="false">
      <c r="A279" s="6" t="n">
        <v>313632</v>
      </c>
      <c r="B279" s="6" t="s">
        <v>488</v>
      </c>
      <c r="C279" s="6" t="s">
        <v>489</v>
      </c>
      <c r="D279" s="6" t="s">
        <v>46</v>
      </c>
      <c r="E279" s="6" t="s">
        <v>35</v>
      </c>
      <c r="F279" s="6" t="n">
        <v>10.000241</v>
      </c>
      <c r="G279" s="6" t="n">
        <v>76.29843</v>
      </c>
      <c r="H279" s="6" t="n">
        <v>6</v>
      </c>
      <c r="I279" s="6" t="n">
        <v>30</v>
      </c>
      <c r="J279" s="6" t="s">
        <v>36</v>
      </c>
      <c r="K279" s="7" t="b">
        <f aca="false">FALSE()</f>
        <v>0</v>
      </c>
    </row>
    <row r="280" customFormat="false" ht="15" hidden="false" customHeight="false" outlineLevel="0" collapsed="false">
      <c r="A280" s="6" t="n">
        <v>313631</v>
      </c>
      <c r="B280" s="6" t="s">
        <v>490</v>
      </c>
      <c r="C280" s="6" t="s">
        <v>482</v>
      </c>
      <c r="D280" s="6" t="s">
        <v>46</v>
      </c>
      <c r="E280" s="6" t="s">
        <v>35</v>
      </c>
      <c r="F280" s="6" t="n">
        <v>9.974193</v>
      </c>
      <c r="G280" s="6" t="n">
        <v>76.293682</v>
      </c>
      <c r="H280" s="6" t="n">
        <v>6</v>
      </c>
      <c r="I280" s="6" t="n">
        <v>30</v>
      </c>
      <c r="J280" s="6" t="s">
        <v>36</v>
      </c>
      <c r="K280" s="7" t="b">
        <f aca="false">FALSE()</f>
        <v>0</v>
      </c>
    </row>
    <row r="281" customFormat="false" ht="15" hidden="false" customHeight="false" outlineLevel="0" collapsed="false">
      <c r="A281" s="6" t="n">
        <v>313630</v>
      </c>
      <c r="B281" s="6" t="s">
        <v>491</v>
      </c>
      <c r="C281" s="6" t="s">
        <v>492</v>
      </c>
      <c r="D281" s="6" t="s">
        <v>46</v>
      </c>
      <c r="E281" s="6" t="s">
        <v>35</v>
      </c>
      <c r="F281" s="6" t="n">
        <v>9.985005</v>
      </c>
      <c r="G281" s="6" t="n">
        <v>76.316065</v>
      </c>
      <c r="H281" s="6" t="n">
        <v>1</v>
      </c>
      <c r="I281" s="6" t="n">
        <v>30</v>
      </c>
      <c r="J281" s="6" t="s">
        <v>36</v>
      </c>
      <c r="K281" s="7" t="b">
        <f aca="false">FALSE()</f>
        <v>0</v>
      </c>
    </row>
    <row r="282" customFormat="false" ht="15" hidden="false" customHeight="false" outlineLevel="0" collapsed="false">
      <c r="A282" s="6" t="n">
        <v>313629</v>
      </c>
      <c r="B282" s="6" t="s">
        <v>493</v>
      </c>
      <c r="C282" s="6" t="s">
        <v>494</v>
      </c>
      <c r="D282" s="6" t="s">
        <v>46</v>
      </c>
      <c r="E282" s="6" t="s">
        <v>35</v>
      </c>
      <c r="F282" s="6" t="n">
        <v>9.971685</v>
      </c>
      <c r="G282" s="6" t="n">
        <v>76.32416</v>
      </c>
      <c r="H282" s="6" t="n">
        <v>1</v>
      </c>
      <c r="I282" s="6" t="n">
        <v>30</v>
      </c>
      <c r="J282" s="6" t="s">
        <v>36</v>
      </c>
      <c r="K282" s="7" t="b">
        <f aca="false">FALSE()</f>
        <v>0</v>
      </c>
    </row>
    <row r="283" customFormat="false" ht="15" hidden="false" customHeight="false" outlineLevel="0" collapsed="false">
      <c r="A283" s="6" t="n">
        <v>313628</v>
      </c>
      <c r="B283" s="6" t="s">
        <v>495</v>
      </c>
      <c r="C283" s="6" t="s">
        <v>494</v>
      </c>
      <c r="D283" s="6" t="s">
        <v>46</v>
      </c>
      <c r="E283" s="6" t="s">
        <v>35</v>
      </c>
      <c r="F283" s="6" t="n">
        <v>9.962668</v>
      </c>
      <c r="G283" s="6" t="n">
        <v>76.318214</v>
      </c>
      <c r="H283" s="6" t="n">
        <v>2</v>
      </c>
      <c r="I283" s="6" t="n">
        <v>60</v>
      </c>
      <c r="J283" s="6" t="s">
        <v>39</v>
      </c>
      <c r="K283" s="7" t="b">
        <f aca="false">TRUE()</f>
        <v>1</v>
      </c>
    </row>
    <row r="284" customFormat="false" ht="15" hidden="false" customHeight="false" outlineLevel="0" collapsed="false">
      <c r="A284" s="6" t="n">
        <v>313627</v>
      </c>
      <c r="B284" s="6" t="s">
        <v>496</v>
      </c>
      <c r="C284" s="6" t="s">
        <v>494</v>
      </c>
      <c r="D284" s="6" t="s">
        <v>46</v>
      </c>
      <c r="E284" s="6" t="s">
        <v>35</v>
      </c>
      <c r="F284" s="6" t="n">
        <v>9.962902</v>
      </c>
      <c r="G284" s="6" t="n">
        <v>76.319221</v>
      </c>
      <c r="H284" s="6" t="n">
        <v>6</v>
      </c>
      <c r="I284" s="6" t="n">
        <v>30</v>
      </c>
      <c r="J284" s="6" t="s">
        <v>36</v>
      </c>
      <c r="K284" s="7" t="b">
        <f aca="false">FALSE()</f>
        <v>0</v>
      </c>
    </row>
    <row r="285" customFormat="false" ht="15" hidden="false" customHeight="false" outlineLevel="0" collapsed="false">
      <c r="A285" s="6" t="n">
        <v>313626</v>
      </c>
      <c r="B285" s="6" t="s">
        <v>497</v>
      </c>
      <c r="C285" s="6" t="s">
        <v>218</v>
      </c>
      <c r="D285" s="6" t="s">
        <v>46</v>
      </c>
      <c r="E285" s="6" t="s">
        <v>35</v>
      </c>
      <c r="F285" s="6" t="n">
        <v>9.948135</v>
      </c>
      <c r="G285" s="6" t="n">
        <v>76.318502</v>
      </c>
      <c r="H285" s="6" t="n">
        <v>2</v>
      </c>
      <c r="I285" s="6" t="n">
        <v>60</v>
      </c>
      <c r="J285" s="6" t="s">
        <v>39</v>
      </c>
      <c r="K285" s="7" t="b">
        <f aca="false">TRUE()</f>
        <v>1</v>
      </c>
    </row>
    <row r="286" customFormat="false" ht="15" hidden="false" customHeight="false" outlineLevel="0" collapsed="false">
      <c r="A286" s="6" t="n">
        <v>313625</v>
      </c>
      <c r="B286" s="6" t="s">
        <v>498</v>
      </c>
      <c r="C286" s="6" t="s">
        <v>218</v>
      </c>
      <c r="D286" s="6" t="s">
        <v>46</v>
      </c>
      <c r="E286" s="6" t="s">
        <v>35</v>
      </c>
      <c r="F286" s="6" t="n">
        <v>9.940155</v>
      </c>
      <c r="G286" s="6" t="n">
        <v>76.318418</v>
      </c>
      <c r="H286" s="6" t="n">
        <v>2</v>
      </c>
      <c r="I286" s="6" t="n">
        <v>30</v>
      </c>
      <c r="J286" s="6" t="s">
        <v>36</v>
      </c>
      <c r="K286" s="7" t="b">
        <f aca="false">FALSE()</f>
        <v>0</v>
      </c>
    </row>
    <row r="287" customFormat="false" ht="15" hidden="false" customHeight="false" outlineLevel="0" collapsed="false">
      <c r="A287" s="6" t="n">
        <v>313624</v>
      </c>
      <c r="B287" s="6" t="s">
        <v>499</v>
      </c>
      <c r="C287" s="6" t="s">
        <v>218</v>
      </c>
      <c r="D287" s="6" t="s">
        <v>46</v>
      </c>
      <c r="E287" s="6" t="s">
        <v>35</v>
      </c>
      <c r="F287" s="6" t="n">
        <v>9.942225</v>
      </c>
      <c r="G287" s="6" t="n">
        <v>76.333885</v>
      </c>
      <c r="H287" s="6" t="n">
        <v>2</v>
      </c>
      <c r="I287" s="6" t="n">
        <v>30</v>
      </c>
      <c r="J287" s="6" t="s">
        <v>36</v>
      </c>
      <c r="K287" s="7" t="b">
        <f aca="false">FALSE()</f>
        <v>0</v>
      </c>
    </row>
    <row r="288" customFormat="false" ht="15" hidden="false" customHeight="false" outlineLevel="0" collapsed="false">
      <c r="A288" s="6" t="n">
        <v>313623</v>
      </c>
      <c r="B288" s="6" t="s">
        <v>500</v>
      </c>
      <c r="C288" s="6" t="s">
        <v>240</v>
      </c>
      <c r="D288" s="6" t="s">
        <v>46</v>
      </c>
      <c r="E288" s="6" t="s">
        <v>35</v>
      </c>
      <c r="F288" s="6" t="n">
        <v>10.088032</v>
      </c>
      <c r="G288" s="6" t="n">
        <v>76.389042</v>
      </c>
      <c r="H288" s="6" t="n">
        <v>4</v>
      </c>
      <c r="I288" s="6" t="n">
        <v>30</v>
      </c>
      <c r="J288" s="6" t="s">
        <v>36</v>
      </c>
      <c r="K288" s="7" t="b">
        <f aca="false">FALSE()</f>
        <v>0</v>
      </c>
    </row>
    <row r="289" customFormat="false" ht="15" hidden="false" customHeight="false" outlineLevel="0" collapsed="false">
      <c r="A289" s="6" t="n">
        <v>313622</v>
      </c>
      <c r="B289" s="6" t="s">
        <v>501</v>
      </c>
      <c r="C289" s="6" t="s">
        <v>502</v>
      </c>
      <c r="D289" s="6" t="s">
        <v>46</v>
      </c>
      <c r="E289" s="6" t="s">
        <v>35</v>
      </c>
      <c r="F289" s="6" t="n">
        <v>9.932546</v>
      </c>
      <c r="G289" s="6" t="n">
        <v>76.388294</v>
      </c>
      <c r="H289" s="6" t="n">
        <v>1</v>
      </c>
      <c r="I289" s="6" t="n">
        <v>30</v>
      </c>
      <c r="J289" s="6" t="s">
        <v>36</v>
      </c>
      <c r="K289" s="7" t="b">
        <f aca="false">FALSE()</f>
        <v>0</v>
      </c>
    </row>
    <row r="290" customFormat="false" ht="15" hidden="false" customHeight="false" outlineLevel="0" collapsed="false">
      <c r="A290" s="6" t="n">
        <v>313621</v>
      </c>
      <c r="B290" s="6" t="s">
        <v>503</v>
      </c>
      <c r="C290" s="6" t="s">
        <v>502</v>
      </c>
      <c r="D290" s="6" t="s">
        <v>46</v>
      </c>
      <c r="E290" s="6" t="s">
        <v>35</v>
      </c>
      <c r="F290" s="6" t="n">
        <v>9.932988</v>
      </c>
      <c r="G290" s="6" t="n">
        <v>76.388736</v>
      </c>
      <c r="H290" s="6" t="n">
        <v>4</v>
      </c>
      <c r="I290" s="6" t="n">
        <v>60</v>
      </c>
      <c r="J290" s="6" t="s">
        <v>39</v>
      </c>
      <c r="K290" s="7" t="b">
        <f aca="false">TRUE()</f>
        <v>1</v>
      </c>
    </row>
    <row r="291" customFormat="false" ht="15" hidden="false" customHeight="false" outlineLevel="0" collapsed="false">
      <c r="A291" s="6" t="n">
        <v>313620</v>
      </c>
      <c r="B291" s="6" t="s">
        <v>504</v>
      </c>
      <c r="C291" s="6" t="s">
        <v>227</v>
      </c>
      <c r="D291" s="6" t="s">
        <v>46</v>
      </c>
      <c r="E291" s="6" t="s">
        <v>35</v>
      </c>
      <c r="F291" s="6" t="n">
        <v>10.001802</v>
      </c>
      <c r="G291" s="6" t="n">
        <v>76.361518</v>
      </c>
      <c r="H291" s="6" t="n">
        <v>2</v>
      </c>
      <c r="I291" s="6" t="n">
        <v>60</v>
      </c>
      <c r="J291" s="6" t="s">
        <v>39</v>
      </c>
      <c r="K291" s="7" t="b">
        <f aca="false">TRUE()</f>
        <v>1</v>
      </c>
    </row>
    <row r="292" customFormat="false" ht="15" hidden="false" customHeight="false" outlineLevel="0" collapsed="false">
      <c r="A292" s="6" t="n">
        <v>313619</v>
      </c>
      <c r="B292" s="6" t="s">
        <v>505</v>
      </c>
      <c r="C292" s="6" t="s">
        <v>506</v>
      </c>
      <c r="D292" s="6" t="s">
        <v>46</v>
      </c>
      <c r="E292" s="6" t="s">
        <v>35</v>
      </c>
      <c r="F292" s="6" t="n">
        <v>10.026022</v>
      </c>
      <c r="G292" s="6" t="n">
        <v>76.391996</v>
      </c>
      <c r="H292" s="6" t="n">
        <v>5</v>
      </c>
      <c r="I292" s="6" t="n">
        <v>60</v>
      </c>
      <c r="J292" s="6" t="s">
        <v>39</v>
      </c>
      <c r="K292" s="7" t="b">
        <f aca="false">TRUE()</f>
        <v>1</v>
      </c>
    </row>
    <row r="293" customFormat="false" ht="15" hidden="false" customHeight="false" outlineLevel="0" collapsed="false">
      <c r="A293" s="6" t="n">
        <v>313618</v>
      </c>
      <c r="B293" s="6" t="s">
        <v>507</v>
      </c>
      <c r="C293" s="6" t="s">
        <v>508</v>
      </c>
      <c r="D293" s="6" t="s">
        <v>46</v>
      </c>
      <c r="E293" s="6" t="s">
        <v>35</v>
      </c>
      <c r="F293" s="6" t="n">
        <v>10.031937</v>
      </c>
      <c r="G293" s="6" t="n">
        <v>76.407493</v>
      </c>
      <c r="H293" s="6" t="n">
        <v>2</v>
      </c>
      <c r="I293" s="6" t="n">
        <v>30</v>
      </c>
      <c r="J293" s="6" t="s">
        <v>36</v>
      </c>
      <c r="K293" s="7" t="b">
        <f aca="false">FALSE()</f>
        <v>0</v>
      </c>
    </row>
    <row r="294" customFormat="false" ht="15" hidden="false" customHeight="false" outlineLevel="0" collapsed="false">
      <c r="A294" s="6" t="n">
        <v>313617</v>
      </c>
      <c r="B294" s="6" t="s">
        <v>509</v>
      </c>
      <c r="C294" s="6" t="s">
        <v>237</v>
      </c>
      <c r="D294" s="6" t="s">
        <v>46</v>
      </c>
      <c r="E294" s="6" t="s">
        <v>35</v>
      </c>
      <c r="F294" s="6" t="n">
        <v>10.130171</v>
      </c>
      <c r="G294" s="6" t="n">
        <v>76.47072</v>
      </c>
      <c r="H294" s="6" t="n">
        <v>1</v>
      </c>
      <c r="I294" s="6" t="n">
        <v>30</v>
      </c>
      <c r="J294" s="6" t="s">
        <v>36</v>
      </c>
      <c r="K294" s="7" t="b">
        <f aca="false">FALSE()</f>
        <v>0</v>
      </c>
    </row>
    <row r="295" customFormat="false" ht="15" hidden="false" customHeight="false" outlineLevel="0" collapsed="false">
      <c r="A295" s="6" t="n">
        <v>313616</v>
      </c>
      <c r="B295" s="6" t="s">
        <v>510</v>
      </c>
      <c r="C295" s="6" t="s">
        <v>511</v>
      </c>
      <c r="D295" s="6" t="s">
        <v>46</v>
      </c>
      <c r="E295" s="6" t="s">
        <v>35</v>
      </c>
      <c r="F295" s="6" t="n">
        <v>10.06947</v>
      </c>
      <c r="G295" s="6" t="n">
        <v>76.60263</v>
      </c>
      <c r="H295" s="6" t="n">
        <v>2</v>
      </c>
      <c r="I295" s="6" t="n">
        <v>60</v>
      </c>
      <c r="J295" s="6" t="s">
        <v>39</v>
      </c>
      <c r="K295" s="7" t="b">
        <f aca="false">TRUE()</f>
        <v>1</v>
      </c>
    </row>
    <row r="296" customFormat="false" ht="15" hidden="false" customHeight="false" outlineLevel="0" collapsed="false">
      <c r="A296" s="6" t="n">
        <v>313615</v>
      </c>
      <c r="B296" s="6" t="s">
        <v>512</v>
      </c>
      <c r="C296" s="6" t="s">
        <v>511</v>
      </c>
      <c r="D296" s="6" t="s">
        <v>46</v>
      </c>
      <c r="E296" s="6" t="s">
        <v>35</v>
      </c>
      <c r="F296" s="6" t="n">
        <v>10.053981</v>
      </c>
      <c r="G296" s="6" t="n">
        <v>76.615384</v>
      </c>
      <c r="H296" s="6" t="n">
        <v>6</v>
      </c>
      <c r="I296" s="6" t="n">
        <v>30</v>
      </c>
      <c r="J296" s="6" t="s">
        <v>36</v>
      </c>
      <c r="K296" s="7" t="b">
        <f aca="false">FALSE()</f>
        <v>0</v>
      </c>
    </row>
    <row r="297" customFormat="false" ht="15" hidden="false" customHeight="false" outlineLevel="0" collapsed="false">
      <c r="A297" s="6" t="n">
        <v>313614</v>
      </c>
      <c r="B297" s="6" t="s">
        <v>513</v>
      </c>
      <c r="C297" s="6" t="s">
        <v>514</v>
      </c>
      <c r="D297" s="6" t="s">
        <v>46</v>
      </c>
      <c r="E297" s="6" t="s">
        <v>35</v>
      </c>
      <c r="F297" s="6" t="n">
        <v>9.979469</v>
      </c>
      <c r="G297" s="6" t="n">
        <v>76.550678</v>
      </c>
      <c r="H297" s="6" t="n">
        <v>1</v>
      </c>
      <c r="I297" s="6" t="n">
        <v>30</v>
      </c>
      <c r="J297" s="6" t="s">
        <v>36</v>
      </c>
      <c r="K297" s="7" t="b">
        <f aca="false">FALSE()</f>
        <v>0</v>
      </c>
    </row>
    <row r="298" customFormat="false" ht="15" hidden="false" customHeight="false" outlineLevel="0" collapsed="false">
      <c r="A298" s="6" t="n">
        <v>313613</v>
      </c>
      <c r="B298" s="6" t="s">
        <v>515</v>
      </c>
      <c r="C298" s="6" t="s">
        <v>516</v>
      </c>
      <c r="D298" s="6" t="s">
        <v>46</v>
      </c>
      <c r="E298" s="6" t="s">
        <v>35</v>
      </c>
      <c r="F298" s="6" t="n">
        <v>9.978863</v>
      </c>
      <c r="G298" s="6" t="n">
        <v>76.58444</v>
      </c>
      <c r="H298" s="6" t="n">
        <v>2</v>
      </c>
      <c r="I298" s="6" t="n">
        <v>30</v>
      </c>
      <c r="J298" s="6" t="s">
        <v>36</v>
      </c>
      <c r="K298" s="7" t="b">
        <f aca="false">FALSE()</f>
        <v>0</v>
      </c>
    </row>
    <row r="299" customFormat="false" ht="15" hidden="false" customHeight="false" outlineLevel="0" collapsed="false">
      <c r="A299" s="6" t="n">
        <v>313612</v>
      </c>
      <c r="B299" s="6" t="s">
        <v>517</v>
      </c>
      <c r="C299" s="6" t="s">
        <v>516</v>
      </c>
      <c r="D299" s="6" t="s">
        <v>46</v>
      </c>
      <c r="E299" s="6" t="s">
        <v>35</v>
      </c>
      <c r="F299" s="6" t="n">
        <v>9.979118</v>
      </c>
      <c r="G299" s="6" t="n">
        <v>76.58664</v>
      </c>
      <c r="H299" s="6" t="n">
        <v>2</v>
      </c>
      <c r="I299" s="6" t="n">
        <v>30</v>
      </c>
      <c r="J299" s="6" t="s">
        <v>36</v>
      </c>
      <c r="K299" s="7" t="b">
        <f aca="false">FALSE()</f>
        <v>0</v>
      </c>
    </row>
    <row r="300" customFormat="false" ht="15" hidden="false" customHeight="false" outlineLevel="0" collapsed="false">
      <c r="A300" s="6" t="n">
        <v>313611</v>
      </c>
      <c r="B300" s="6" t="s">
        <v>518</v>
      </c>
      <c r="C300" s="6" t="s">
        <v>519</v>
      </c>
      <c r="D300" s="6" t="s">
        <v>46</v>
      </c>
      <c r="E300" s="6" t="s">
        <v>35</v>
      </c>
      <c r="F300" s="6" t="n">
        <v>9.946157</v>
      </c>
      <c r="G300" s="6" t="n">
        <v>76.635631</v>
      </c>
      <c r="H300" s="6" t="n">
        <v>2</v>
      </c>
      <c r="I300" s="6" t="n">
        <v>60</v>
      </c>
      <c r="J300" s="6" t="s">
        <v>39</v>
      </c>
      <c r="K300" s="7" t="b">
        <f aca="false">TRUE()</f>
        <v>1</v>
      </c>
    </row>
    <row r="301" customFormat="false" ht="15" hidden="false" customHeight="false" outlineLevel="0" collapsed="false">
      <c r="A301" s="6" t="n">
        <v>313610</v>
      </c>
      <c r="B301" s="6" t="s">
        <v>520</v>
      </c>
      <c r="C301" s="6" t="s">
        <v>519</v>
      </c>
      <c r="D301" s="6" t="s">
        <v>46</v>
      </c>
      <c r="E301" s="6" t="s">
        <v>35</v>
      </c>
      <c r="F301" s="6" t="n">
        <v>9.917341</v>
      </c>
      <c r="G301" s="6" t="n">
        <v>76.687581</v>
      </c>
      <c r="H301" s="6" t="n">
        <v>2</v>
      </c>
      <c r="I301" s="6" t="n">
        <v>30</v>
      </c>
      <c r="J301" s="6" t="s">
        <v>36</v>
      </c>
      <c r="K301" s="7" t="b">
        <f aca="false">FALSE()</f>
        <v>0</v>
      </c>
    </row>
    <row r="302" customFormat="false" ht="15" hidden="false" customHeight="false" outlineLevel="0" collapsed="false">
      <c r="A302" s="6" t="n">
        <v>313609</v>
      </c>
      <c r="B302" s="6" t="s">
        <v>521</v>
      </c>
      <c r="C302" s="6" t="s">
        <v>519</v>
      </c>
      <c r="D302" s="6" t="s">
        <v>46</v>
      </c>
      <c r="E302" s="6" t="s">
        <v>35</v>
      </c>
      <c r="F302" s="6" t="n">
        <v>9.892123</v>
      </c>
      <c r="G302" s="6" t="n">
        <v>76.708531</v>
      </c>
      <c r="H302" s="6" t="n">
        <v>6</v>
      </c>
      <c r="I302" s="6" t="n">
        <v>30</v>
      </c>
      <c r="J302" s="6" t="s">
        <v>36</v>
      </c>
      <c r="K302" s="7" t="b">
        <f aca="false">FALSE()</f>
        <v>0</v>
      </c>
    </row>
    <row r="303" customFormat="false" ht="15" hidden="false" customHeight="false" outlineLevel="0" collapsed="false">
      <c r="A303" s="6" t="n">
        <v>313608</v>
      </c>
      <c r="B303" s="6" t="s">
        <v>522</v>
      </c>
      <c r="C303" s="6" t="s">
        <v>523</v>
      </c>
      <c r="D303" s="6" t="s">
        <v>46</v>
      </c>
      <c r="E303" s="6" t="s">
        <v>35</v>
      </c>
      <c r="F303" s="6" t="n">
        <v>9.863114</v>
      </c>
      <c r="G303" s="6" t="n">
        <v>76.697091</v>
      </c>
      <c r="H303" s="6" t="n">
        <v>2</v>
      </c>
      <c r="I303" s="6" t="n">
        <v>30</v>
      </c>
      <c r="J303" s="6" t="s">
        <v>36</v>
      </c>
      <c r="K303" s="7" t="b">
        <f aca="false">FALSE()</f>
        <v>0</v>
      </c>
    </row>
    <row r="304" customFormat="false" ht="15" hidden="false" customHeight="false" outlineLevel="0" collapsed="false">
      <c r="A304" s="6" t="n">
        <v>313606</v>
      </c>
      <c r="B304" s="6" t="s">
        <v>524</v>
      </c>
      <c r="C304" s="6" t="s">
        <v>525</v>
      </c>
      <c r="D304" s="6" t="s">
        <v>46</v>
      </c>
      <c r="E304" s="6" t="s">
        <v>35</v>
      </c>
      <c r="F304" s="6" t="n">
        <v>9.856563</v>
      </c>
      <c r="G304" s="6" t="n">
        <v>76.59657</v>
      </c>
      <c r="H304" s="6" t="n">
        <v>3</v>
      </c>
      <c r="I304" s="6" t="n">
        <v>30</v>
      </c>
      <c r="J304" s="6" t="s">
        <v>36</v>
      </c>
      <c r="K304" s="7" t="b">
        <f aca="false">FALSE()</f>
        <v>0</v>
      </c>
    </row>
    <row r="305" customFormat="false" ht="15" hidden="false" customHeight="false" outlineLevel="0" collapsed="false">
      <c r="A305" s="6" t="n">
        <v>313605</v>
      </c>
      <c r="B305" s="6" t="s">
        <v>526</v>
      </c>
      <c r="C305" s="6" t="s">
        <v>527</v>
      </c>
      <c r="D305" s="6" t="s">
        <v>46</v>
      </c>
      <c r="E305" s="6" t="s">
        <v>35</v>
      </c>
      <c r="F305" s="6" t="n">
        <v>9.798851</v>
      </c>
      <c r="G305" s="6" t="n">
        <v>76.459887</v>
      </c>
      <c r="H305" s="6" t="n">
        <v>2</v>
      </c>
      <c r="I305" s="6" t="n">
        <v>30</v>
      </c>
      <c r="J305" s="6" t="s">
        <v>36</v>
      </c>
      <c r="K305" s="7" t="b">
        <f aca="false">FALSE()</f>
        <v>0</v>
      </c>
    </row>
    <row r="306" customFormat="false" ht="15" hidden="false" customHeight="false" outlineLevel="0" collapsed="false">
      <c r="A306" s="6" t="n">
        <v>313603</v>
      </c>
      <c r="B306" s="6" t="s">
        <v>405</v>
      </c>
      <c r="C306" s="6" t="s">
        <v>528</v>
      </c>
      <c r="D306" s="6" t="s">
        <v>46</v>
      </c>
      <c r="E306" s="6" t="s">
        <v>35</v>
      </c>
      <c r="F306" s="6" t="n">
        <v>9.594581</v>
      </c>
      <c r="G306" s="6" t="n">
        <v>76.426069</v>
      </c>
      <c r="H306" s="6" t="n">
        <v>2</v>
      </c>
      <c r="I306" s="6" t="n">
        <v>30</v>
      </c>
      <c r="J306" s="6" t="s">
        <v>36</v>
      </c>
      <c r="K306" s="7" t="b">
        <f aca="false">FALSE()</f>
        <v>0</v>
      </c>
    </row>
    <row r="307" customFormat="false" ht="15" hidden="false" customHeight="false" outlineLevel="0" collapsed="false">
      <c r="A307" s="6" t="n">
        <v>313602</v>
      </c>
      <c r="B307" s="6" t="s">
        <v>529</v>
      </c>
      <c r="C307" s="6" t="s">
        <v>530</v>
      </c>
      <c r="D307" s="6" t="s">
        <v>46</v>
      </c>
      <c r="E307" s="6" t="s">
        <v>35</v>
      </c>
      <c r="F307" s="6" t="n">
        <v>8.502329</v>
      </c>
      <c r="G307" s="6" t="n">
        <v>76.897726</v>
      </c>
      <c r="H307" s="6" t="n">
        <v>1</v>
      </c>
      <c r="I307" s="6" t="n">
        <v>24</v>
      </c>
      <c r="J307" s="6" t="s">
        <v>36</v>
      </c>
      <c r="K307" s="7" t="b">
        <f aca="false">FALSE()</f>
        <v>0</v>
      </c>
    </row>
    <row r="308" customFormat="false" ht="15" hidden="false" customHeight="false" outlineLevel="0" collapsed="false">
      <c r="A308" s="6" t="n">
        <v>313601</v>
      </c>
      <c r="B308" s="6" t="s">
        <v>531</v>
      </c>
      <c r="C308" s="6" t="s">
        <v>131</v>
      </c>
      <c r="D308" s="6" t="s">
        <v>46</v>
      </c>
      <c r="E308" s="6" t="s">
        <v>35</v>
      </c>
      <c r="F308" s="6" t="n">
        <v>8.357874</v>
      </c>
      <c r="G308" s="6" t="n">
        <v>77.072945</v>
      </c>
      <c r="H308" s="6" t="n">
        <v>2</v>
      </c>
      <c r="I308" s="6" t="n">
        <v>40</v>
      </c>
      <c r="J308" s="6" t="s">
        <v>36</v>
      </c>
      <c r="K308" s="7" t="b">
        <f aca="false">FALSE()</f>
        <v>0</v>
      </c>
    </row>
    <row r="309" customFormat="false" ht="15" hidden="false" customHeight="false" outlineLevel="0" collapsed="false">
      <c r="A309" s="6" t="n">
        <v>313600</v>
      </c>
      <c r="B309" s="6" t="s">
        <v>532</v>
      </c>
      <c r="C309" s="6" t="s">
        <v>533</v>
      </c>
      <c r="D309" s="6" t="s">
        <v>46</v>
      </c>
      <c r="E309" s="6" t="s">
        <v>35</v>
      </c>
      <c r="F309" s="6" t="n">
        <v>8.494975</v>
      </c>
      <c r="G309" s="6" t="n">
        <v>76.977568</v>
      </c>
      <c r="H309" s="6" t="n">
        <v>2</v>
      </c>
      <c r="I309" s="6" t="n">
        <v>60</v>
      </c>
      <c r="J309" s="6" t="s">
        <v>39</v>
      </c>
      <c r="K309" s="7" t="b">
        <f aca="false">TRUE()</f>
        <v>1</v>
      </c>
    </row>
    <row r="310" customFormat="false" ht="15" hidden="false" customHeight="false" outlineLevel="0" collapsed="false">
      <c r="A310" s="6" t="n">
        <v>313599</v>
      </c>
      <c r="B310" s="6" t="s">
        <v>534</v>
      </c>
      <c r="C310" s="6" t="s">
        <v>535</v>
      </c>
      <c r="D310" s="6" t="s">
        <v>46</v>
      </c>
      <c r="E310" s="6" t="s">
        <v>35</v>
      </c>
      <c r="F310" s="6" t="n">
        <v>8.548542</v>
      </c>
      <c r="G310" s="6" t="n">
        <v>76.918293</v>
      </c>
      <c r="H310" s="6" t="n">
        <v>2</v>
      </c>
      <c r="I310" s="6" t="n">
        <v>30</v>
      </c>
      <c r="J310" s="6" t="s">
        <v>36</v>
      </c>
      <c r="K310" s="7" t="b">
        <f aca="false">FALSE()</f>
        <v>0</v>
      </c>
    </row>
    <row r="311" customFormat="false" ht="15" hidden="false" customHeight="false" outlineLevel="0" collapsed="false">
      <c r="A311" s="6" t="n">
        <v>313598</v>
      </c>
      <c r="B311" s="6" t="s">
        <v>536</v>
      </c>
      <c r="C311" s="6" t="s">
        <v>537</v>
      </c>
      <c r="D311" s="6" t="s">
        <v>46</v>
      </c>
      <c r="E311" s="6" t="s">
        <v>35</v>
      </c>
      <c r="F311" s="6" t="n">
        <v>8.56082</v>
      </c>
      <c r="G311" s="6" t="n">
        <v>76.898165</v>
      </c>
      <c r="H311" s="6" t="n">
        <v>1</v>
      </c>
      <c r="I311" s="6" t="n">
        <v>30</v>
      </c>
      <c r="J311" s="6" t="s">
        <v>36</v>
      </c>
      <c r="K311" s="7" t="b">
        <f aca="false">FALSE()</f>
        <v>0</v>
      </c>
    </row>
    <row r="312" customFormat="false" ht="15" hidden="false" customHeight="false" outlineLevel="0" collapsed="false">
      <c r="A312" s="6" t="n">
        <v>313597</v>
      </c>
      <c r="B312" s="6" t="s">
        <v>538</v>
      </c>
      <c r="C312" s="6" t="s">
        <v>539</v>
      </c>
      <c r="D312" s="6" t="s">
        <v>46</v>
      </c>
      <c r="E312" s="6" t="s">
        <v>35</v>
      </c>
      <c r="F312" s="6" t="n">
        <v>8.5653</v>
      </c>
      <c r="G312" s="6" t="n">
        <v>76.874447</v>
      </c>
      <c r="H312" s="6" t="n">
        <v>2</v>
      </c>
      <c r="I312" s="6" t="n">
        <v>30</v>
      </c>
      <c r="J312" s="6" t="s">
        <v>36</v>
      </c>
      <c r="K312" s="7" t="b">
        <f aca="false">FALSE()</f>
        <v>0</v>
      </c>
    </row>
    <row r="313" customFormat="false" ht="15" hidden="false" customHeight="false" outlineLevel="0" collapsed="false">
      <c r="A313" s="6" t="n">
        <v>313596</v>
      </c>
      <c r="B313" s="6" t="s">
        <v>540</v>
      </c>
      <c r="C313" s="6" t="s">
        <v>539</v>
      </c>
      <c r="D313" s="6" t="s">
        <v>46</v>
      </c>
      <c r="E313" s="6" t="s">
        <v>35</v>
      </c>
      <c r="F313" s="6" t="n">
        <v>8.55245</v>
      </c>
      <c r="G313" s="6" t="n">
        <v>76.874472</v>
      </c>
      <c r="H313" s="6" t="n">
        <v>1</v>
      </c>
      <c r="I313" s="6" t="n">
        <v>30</v>
      </c>
      <c r="J313" s="6" t="s">
        <v>36</v>
      </c>
      <c r="K313" s="7" t="b">
        <f aca="false">FALSE()</f>
        <v>0</v>
      </c>
    </row>
    <row r="314" customFormat="false" ht="15" hidden="false" customHeight="false" outlineLevel="0" collapsed="false">
      <c r="A314" s="6" t="n">
        <v>313594</v>
      </c>
      <c r="B314" s="6" t="s">
        <v>541</v>
      </c>
      <c r="C314" s="6" t="s">
        <v>542</v>
      </c>
      <c r="D314" s="6" t="s">
        <v>46</v>
      </c>
      <c r="E314" s="6" t="s">
        <v>35</v>
      </c>
      <c r="F314" s="6" t="n">
        <v>9.78917</v>
      </c>
      <c r="G314" s="6" t="n">
        <v>76.853857</v>
      </c>
      <c r="H314" s="6" t="n">
        <v>6</v>
      </c>
      <c r="I314" s="6" t="n">
        <v>30</v>
      </c>
      <c r="J314" s="6" t="s">
        <v>36</v>
      </c>
      <c r="K314" s="7" t="b">
        <f aca="false">FALSE()</f>
        <v>0</v>
      </c>
    </row>
    <row r="315" customFormat="false" ht="15" hidden="false" customHeight="false" outlineLevel="0" collapsed="false">
      <c r="A315" s="6" t="n">
        <v>313593</v>
      </c>
      <c r="B315" s="6" t="s">
        <v>543</v>
      </c>
      <c r="C315" s="6" t="s">
        <v>544</v>
      </c>
      <c r="D315" s="6" t="s">
        <v>46</v>
      </c>
      <c r="E315" s="6" t="s">
        <v>35</v>
      </c>
      <c r="F315" s="6" t="n">
        <v>9.684304</v>
      </c>
      <c r="G315" s="6" t="n">
        <v>76.895483</v>
      </c>
      <c r="H315" s="6" t="n">
        <v>3</v>
      </c>
      <c r="I315" s="6" t="n">
        <v>30</v>
      </c>
      <c r="J315" s="6" t="s">
        <v>36</v>
      </c>
      <c r="K315" s="7" t="b">
        <f aca="false">FALSE()</f>
        <v>0</v>
      </c>
    </row>
    <row r="316" customFormat="false" ht="15" hidden="false" customHeight="false" outlineLevel="0" collapsed="false">
      <c r="A316" s="6" t="n">
        <v>313592</v>
      </c>
      <c r="B316" s="6" t="s">
        <v>545</v>
      </c>
      <c r="C316" s="6" t="s">
        <v>546</v>
      </c>
      <c r="D316" s="6" t="s">
        <v>46</v>
      </c>
      <c r="E316" s="6" t="s">
        <v>35</v>
      </c>
      <c r="F316" s="6" t="n">
        <v>9.690679</v>
      </c>
      <c r="G316" s="6" t="n">
        <v>76.77459</v>
      </c>
      <c r="H316" s="6" t="n">
        <v>1</v>
      </c>
      <c r="I316" s="6" t="n">
        <v>30</v>
      </c>
      <c r="J316" s="6" t="s">
        <v>36</v>
      </c>
      <c r="K316" s="7" t="b">
        <f aca="false">FALSE()</f>
        <v>0</v>
      </c>
    </row>
    <row r="317" customFormat="false" ht="15" hidden="false" customHeight="false" outlineLevel="0" collapsed="false">
      <c r="A317" s="6" t="n">
        <v>313591</v>
      </c>
      <c r="B317" s="6" t="s">
        <v>547</v>
      </c>
      <c r="C317" s="6" t="s">
        <v>548</v>
      </c>
      <c r="D317" s="6" t="s">
        <v>46</v>
      </c>
      <c r="E317" s="6" t="s">
        <v>35</v>
      </c>
      <c r="F317" s="6" t="n">
        <v>9.711918</v>
      </c>
      <c r="G317" s="6" t="n">
        <v>76.693244</v>
      </c>
      <c r="H317" s="6" t="n">
        <v>1</v>
      </c>
      <c r="I317" s="6" t="n">
        <v>30</v>
      </c>
      <c r="J317" s="6" t="s">
        <v>36</v>
      </c>
      <c r="K317" s="7" t="b">
        <f aca="false">FALSE()</f>
        <v>0</v>
      </c>
    </row>
    <row r="318" customFormat="false" ht="15" hidden="false" customHeight="false" outlineLevel="0" collapsed="false">
      <c r="A318" s="6" t="n">
        <v>313590</v>
      </c>
      <c r="B318" s="6" t="s">
        <v>549</v>
      </c>
      <c r="C318" s="6" t="s">
        <v>548</v>
      </c>
      <c r="D318" s="6" t="s">
        <v>46</v>
      </c>
      <c r="E318" s="6" t="s">
        <v>35</v>
      </c>
      <c r="F318" s="6" t="n">
        <v>9.691624</v>
      </c>
      <c r="G318" s="6" t="n">
        <v>76.640317</v>
      </c>
      <c r="H318" s="6" t="n">
        <v>4</v>
      </c>
      <c r="I318" s="6" t="n">
        <v>60</v>
      </c>
      <c r="J318" s="6" t="s">
        <v>39</v>
      </c>
      <c r="K318" s="7" t="b">
        <f aca="false">TRUE()</f>
        <v>1</v>
      </c>
    </row>
    <row r="319" customFormat="false" ht="15" hidden="false" customHeight="false" outlineLevel="0" collapsed="false">
      <c r="A319" s="6" t="n">
        <v>313589</v>
      </c>
      <c r="B319" s="6" t="s">
        <v>550</v>
      </c>
      <c r="C319" s="6" t="s">
        <v>196</v>
      </c>
      <c r="D319" s="6" t="s">
        <v>46</v>
      </c>
      <c r="E319" s="6" t="s">
        <v>35</v>
      </c>
      <c r="F319" s="6" t="n">
        <v>9.661164</v>
      </c>
      <c r="G319" s="6" t="n">
        <v>76.551328</v>
      </c>
      <c r="H319" s="6" t="n">
        <v>2</v>
      </c>
      <c r="I319" s="6" t="n">
        <v>60</v>
      </c>
      <c r="J319" s="6" t="s">
        <v>39</v>
      </c>
      <c r="K319" s="7" t="b">
        <f aca="false">TRUE()</f>
        <v>1</v>
      </c>
    </row>
    <row r="320" customFormat="false" ht="15" hidden="false" customHeight="false" outlineLevel="0" collapsed="false">
      <c r="A320" s="6" t="n">
        <v>313587</v>
      </c>
      <c r="B320" s="6" t="s">
        <v>551</v>
      </c>
      <c r="C320" s="6" t="s">
        <v>552</v>
      </c>
      <c r="D320" s="6" t="s">
        <v>46</v>
      </c>
      <c r="E320" s="6" t="s">
        <v>35</v>
      </c>
      <c r="F320" s="6" t="n">
        <v>9.632684</v>
      </c>
      <c r="G320" s="6" t="n">
        <v>76.524402</v>
      </c>
      <c r="H320" s="6" t="n">
        <v>5</v>
      </c>
      <c r="I320" s="6" t="n">
        <v>30</v>
      </c>
      <c r="J320" s="6" t="s">
        <v>36</v>
      </c>
      <c r="K320" s="7" t="b">
        <f aca="false">FALSE()</f>
        <v>0</v>
      </c>
    </row>
    <row r="321" customFormat="false" ht="15" hidden="false" customHeight="false" outlineLevel="0" collapsed="false">
      <c r="A321" s="6" t="n">
        <v>313586</v>
      </c>
      <c r="B321" s="6" t="s">
        <v>553</v>
      </c>
      <c r="C321" s="6" t="s">
        <v>204</v>
      </c>
      <c r="D321" s="6" t="s">
        <v>46</v>
      </c>
      <c r="E321" s="6" t="s">
        <v>35</v>
      </c>
      <c r="F321" s="6" t="n">
        <v>9.601837</v>
      </c>
      <c r="G321" s="6" t="n">
        <v>76.532159</v>
      </c>
      <c r="H321" s="6" t="n">
        <v>1</v>
      </c>
      <c r="I321" s="6" t="n">
        <v>30</v>
      </c>
      <c r="J321" s="6" t="s">
        <v>36</v>
      </c>
      <c r="K321" s="7" t="b">
        <f aca="false">FALSE()</f>
        <v>0</v>
      </c>
    </row>
    <row r="322" customFormat="false" ht="15" hidden="false" customHeight="false" outlineLevel="0" collapsed="false">
      <c r="A322" s="6" t="n">
        <v>313585</v>
      </c>
      <c r="B322" s="6" t="s">
        <v>554</v>
      </c>
      <c r="C322" s="6" t="s">
        <v>204</v>
      </c>
      <c r="D322" s="6" t="s">
        <v>46</v>
      </c>
      <c r="E322" s="6" t="s">
        <v>35</v>
      </c>
      <c r="F322" s="6" t="n">
        <v>9.586257</v>
      </c>
      <c r="G322" s="6" t="n">
        <v>76.588415</v>
      </c>
      <c r="H322" s="6" t="n">
        <v>2</v>
      </c>
      <c r="I322" s="6" t="n">
        <v>30</v>
      </c>
      <c r="J322" s="6" t="s">
        <v>36</v>
      </c>
      <c r="K322" s="7" t="b">
        <f aca="false">FALSE()</f>
        <v>0</v>
      </c>
    </row>
    <row r="323" customFormat="false" ht="15" hidden="false" customHeight="false" outlineLevel="0" collapsed="false">
      <c r="A323" s="6" t="n">
        <v>313584</v>
      </c>
      <c r="B323" s="6" t="s">
        <v>555</v>
      </c>
      <c r="C323" s="6" t="s">
        <v>556</v>
      </c>
      <c r="D323" s="6" t="s">
        <v>46</v>
      </c>
      <c r="E323" s="6" t="s">
        <v>35</v>
      </c>
      <c r="F323" s="6" t="n">
        <v>9.543065</v>
      </c>
      <c r="G323" s="6" t="n">
        <v>76.514231</v>
      </c>
      <c r="H323" s="6" t="n">
        <v>6</v>
      </c>
      <c r="I323" s="6" t="n">
        <v>30</v>
      </c>
      <c r="J323" s="6" t="s">
        <v>36</v>
      </c>
      <c r="K323" s="7" t="b">
        <f aca="false">FALSE()</f>
        <v>0</v>
      </c>
    </row>
    <row r="324" customFormat="false" ht="15" hidden="false" customHeight="false" outlineLevel="0" collapsed="false">
      <c r="A324" s="6" t="n">
        <v>313583</v>
      </c>
      <c r="B324" s="6" t="s">
        <v>557</v>
      </c>
      <c r="C324" s="6" t="s">
        <v>207</v>
      </c>
      <c r="D324" s="6" t="s">
        <v>46</v>
      </c>
      <c r="E324" s="6" t="s">
        <v>35</v>
      </c>
      <c r="F324" s="6" t="n">
        <v>9.519932</v>
      </c>
      <c r="G324" s="6" t="n">
        <v>76.327522</v>
      </c>
      <c r="H324" s="6" t="n">
        <v>1</v>
      </c>
      <c r="I324" s="6" t="n">
        <v>30</v>
      </c>
      <c r="J324" s="6" t="s">
        <v>36</v>
      </c>
      <c r="K324" s="7" t="b">
        <f aca="false">FALSE()</f>
        <v>0</v>
      </c>
    </row>
    <row r="325" customFormat="false" ht="15" hidden="false" customHeight="false" outlineLevel="0" collapsed="false">
      <c r="A325" s="6" t="n">
        <v>313582</v>
      </c>
      <c r="B325" s="6" t="s">
        <v>558</v>
      </c>
      <c r="C325" s="6" t="s">
        <v>207</v>
      </c>
      <c r="D325" s="6" t="s">
        <v>46</v>
      </c>
      <c r="E325" s="6" t="s">
        <v>35</v>
      </c>
      <c r="F325" s="6" t="n">
        <v>9.505147</v>
      </c>
      <c r="G325" s="6" t="n">
        <v>76.328326</v>
      </c>
      <c r="H325" s="6" t="n">
        <v>1</v>
      </c>
      <c r="I325" s="6" t="n">
        <v>30</v>
      </c>
      <c r="J325" s="6" t="s">
        <v>36</v>
      </c>
      <c r="K325" s="7" t="b">
        <f aca="false">FALSE()</f>
        <v>0</v>
      </c>
    </row>
    <row r="326" customFormat="false" ht="15" hidden="false" customHeight="false" outlineLevel="0" collapsed="false">
      <c r="A326" s="6" t="n">
        <v>313581</v>
      </c>
      <c r="B326" s="6" t="s">
        <v>559</v>
      </c>
      <c r="C326" s="6" t="s">
        <v>560</v>
      </c>
      <c r="D326" s="6" t="s">
        <v>46</v>
      </c>
      <c r="E326" s="6" t="s">
        <v>35</v>
      </c>
      <c r="F326" s="6" t="n">
        <v>9.425617</v>
      </c>
      <c r="G326" s="6" t="n">
        <v>76.346773</v>
      </c>
      <c r="H326" s="6" t="n">
        <v>5</v>
      </c>
      <c r="I326" s="6" t="n">
        <v>30</v>
      </c>
      <c r="J326" s="6" t="s">
        <v>36</v>
      </c>
      <c r="K326" s="7" t="b">
        <f aca="false">FALSE()</f>
        <v>0</v>
      </c>
    </row>
    <row r="327" customFormat="false" ht="15" hidden="false" customHeight="false" outlineLevel="0" collapsed="false">
      <c r="A327" s="6" t="n">
        <v>313580</v>
      </c>
      <c r="B327" s="6" t="s">
        <v>561</v>
      </c>
      <c r="C327" s="6" t="s">
        <v>562</v>
      </c>
      <c r="D327" s="6" t="s">
        <v>46</v>
      </c>
      <c r="E327" s="6" t="s">
        <v>35</v>
      </c>
      <c r="F327" s="6" t="n">
        <v>9.506164</v>
      </c>
      <c r="G327" s="6" t="n">
        <v>76.652334</v>
      </c>
      <c r="H327" s="6" t="n">
        <v>1</v>
      </c>
      <c r="I327" s="6" t="n">
        <v>30</v>
      </c>
      <c r="J327" s="6" t="s">
        <v>36</v>
      </c>
      <c r="K327" s="7" t="b">
        <f aca="false">FALSE()</f>
        <v>0</v>
      </c>
    </row>
    <row r="328" customFormat="false" ht="15" hidden="false" customHeight="false" outlineLevel="0" collapsed="false">
      <c r="A328" s="6" t="n">
        <v>313579</v>
      </c>
      <c r="B328" s="6" t="s">
        <v>563</v>
      </c>
      <c r="C328" s="6" t="s">
        <v>176</v>
      </c>
      <c r="D328" s="6" t="s">
        <v>46</v>
      </c>
      <c r="E328" s="6" t="s">
        <v>35</v>
      </c>
      <c r="F328" s="6" t="n">
        <v>9.45225</v>
      </c>
      <c r="G328" s="6" t="n">
        <v>76.547239</v>
      </c>
      <c r="H328" s="6" t="n">
        <v>3</v>
      </c>
      <c r="I328" s="6" t="n">
        <v>60</v>
      </c>
      <c r="J328" s="6" t="s">
        <v>39</v>
      </c>
      <c r="K328" s="7" t="b">
        <f aca="false">TRUE()</f>
        <v>1</v>
      </c>
    </row>
    <row r="329" customFormat="false" ht="15" hidden="false" customHeight="false" outlineLevel="0" collapsed="false">
      <c r="A329" s="6" t="n">
        <v>313578</v>
      </c>
      <c r="B329" s="6" t="s">
        <v>564</v>
      </c>
      <c r="C329" s="6" t="s">
        <v>565</v>
      </c>
      <c r="D329" s="6" t="s">
        <v>46</v>
      </c>
      <c r="E329" s="6" t="s">
        <v>35</v>
      </c>
      <c r="F329" s="6" t="n">
        <v>9.421076</v>
      </c>
      <c r="G329" s="6" t="n">
        <v>76.546134</v>
      </c>
      <c r="H329" s="6" t="n">
        <v>1</v>
      </c>
      <c r="I329" s="6" t="n">
        <v>40</v>
      </c>
      <c r="J329" s="6" t="s">
        <v>36</v>
      </c>
      <c r="K329" s="7" t="b">
        <f aca="false">FALSE()</f>
        <v>0</v>
      </c>
    </row>
    <row r="330" customFormat="false" ht="15" hidden="false" customHeight="false" outlineLevel="0" collapsed="false">
      <c r="A330" s="6" t="n">
        <v>313577</v>
      </c>
      <c r="B330" s="6" t="s">
        <v>566</v>
      </c>
      <c r="C330" s="6" t="s">
        <v>565</v>
      </c>
      <c r="D330" s="6" t="s">
        <v>46</v>
      </c>
      <c r="E330" s="6" t="s">
        <v>35</v>
      </c>
      <c r="F330" s="6" t="n">
        <v>9.373322</v>
      </c>
      <c r="G330" s="6" t="n">
        <v>76.564811</v>
      </c>
      <c r="H330" s="6" t="n">
        <v>1</v>
      </c>
      <c r="I330" s="6" t="n">
        <v>25</v>
      </c>
      <c r="J330" s="6" t="s">
        <v>36</v>
      </c>
      <c r="K330" s="7" t="b">
        <f aca="false">FALSE()</f>
        <v>0</v>
      </c>
    </row>
    <row r="331" customFormat="false" ht="15" hidden="false" customHeight="false" outlineLevel="0" collapsed="false">
      <c r="A331" s="6" t="n">
        <v>313576</v>
      </c>
      <c r="B331" s="6" t="s">
        <v>567</v>
      </c>
      <c r="C331" s="6" t="s">
        <v>568</v>
      </c>
      <c r="D331" s="6" t="s">
        <v>46</v>
      </c>
      <c r="E331" s="6" t="s">
        <v>35</v>
      </c>
      <c r="F331" s="6" t="n">
        <v>9.367526</v>
      </c>
      <c r="G331" s="6" t="n">
        <v>76.499518</v>
      </c>
      <c r="H331" s="6" t="n">
        <v>3</v>
      </c>
      <c r="I331" s="6" t="n">
        <v>30</v>
      </c>
      <c r="J331" s="6" t="s">
        <v>36</v>
      </c>
      <c r="K331" s="7" t="b">
        <f aca="false">FALSE()</f>
        <v>0</v>
      </c>
    </row>
    <row r="332" customFormat="false" ht="15" hidden="false" customHeight="false" outlineLevel="0" collapsed="false">
      <c r="A332" s="6" t="n">
        <v>313575</v>
      </c>
      <c r="B332" s="6" t="s">
        <v>569</v>
      </c>
      <c r="C332" s="6" t="s">
        <v>570</v>
      </c>
      <c r="D332" s="6" t="s">
        <v>46</v>
      </c>
      <c r="E332" s="6" t="s">
        <v>35</v>
      </c>
      <c r="F332" s="6" t="n">
        <v>9.31425</v>
      </c>
      <c r="G332" s="6" t="n">
        <v>76.429108</v>
      </c>
      <c r="H332" s="6" t="n">
        <v>4</v>
      </c>
      <c r="I332" s="6" t="n">
        <v>60</v>
      </c>
      <c r="J332" s="6" t="s">
        <v>39</v>
      </c>
      <c r="K332" s="7" t="b">
        <f aca="false">TRUE()</f>
        <v>1</v>
      </c>
    </row>
    <row r="333" customFormat="false" ht="15" hidden="false" customHeight="false" outlineLevel="0" collapsed="false">
      <c r="A333" s="6" t="n">
        <v>313574</v>
      </c>
      <c r="B333" s="6" t="s">
        <v>571</v>
      </c>
      <c r="C333" s="6" t="s">
        <v>570</v>
      </c>
      <c r="D333" s="6" t="s">
        <v>46</v>
      </c>
      <c r="E333" s="6" t="s">
        <v>35</v>
      </c>
      <c r="F333" s="6" t="n">
        <v>9.31575</v>
      </c>
      <c r="G333" s="6" t="n">
        <v>76.401221</v>
      </c>
      <c r="H333" s="6" t="n">
        <v>7</v>
      </c>
      <c r="I333" s="6" t="n">
        <v>60</v>
      </c>
      <c r="J333" s="6" t="s">
        <v>39</v>
      </c>
      <c r="K333" s="7" t="b">
        <f aca="false">TRUE()</f>
        <v>1</v>
      </c>
    </row>
    <row r="334" customFormat="false" ht="15" hidden="false" customHeight="false" outlineLevel="0" collapsed="false">
      <c r="A334" s="6" t="n">
        <v>313569</v>
      </c>
      <c r="B334" s="6" t="s">
        <v>572</v>
      </c>
      <c r="C334" s="6" t="s">
        <v>171</v>
      </c>
      <c r="D334" s="6" t="s">
        <v>46</v>
      </c>
      <c r="E334" s="6" t="s">
        <v>35</v>
      </c>
      <c r="F334" s="6" t="n">
        <v>9.316652</v>
      </c>
      <c r="G334" s="6" t="n">
        <v>76.800902</v>
      </c>
      <c r="H334" s="6" t="n">
        <v>2</v>
      </c>
      <c r="I334" s="6" t="n">
        <v>60</v>
      </c>
      <c r="J334" s="6" t="s">
        <v>39</v>
      </c>
      <c r="K334" s="7" t="b">
        <f aca="false">TRUE()</f>
        <v>1</v>
      </c>
    </row>
    <row r="335" customFormat="false" ht="15" hidden="false" customHeight="false" outlineLevel="0" collapsed="false">
      <c r="A335" s="6" t="n">
        <v>313567</v>
      </c>
      <c r="B335" s="6" t="s">
        <v>573</v>
      </c>
      <c r="C335" s="6" t="s">
        <v>574</v>
      </c>
      <c r="D335" s="6" t="s">
        <v>46</v>
      </c>
      <c r="E335" s="6" t="s">
        <v>35</v>
      </c>
      <c r="F335" s="6" t="n">
        <v>9.412378</v>
      </c>
      <c r="G335" s="6" t="n">
        <v>77.069969</v>
      </c>
      <c r="H335" s="6" t="n">
        <v>6</v>
      </c>
      <c r="I335" s="6" t="n">
        <v>30</v>
      </c>
      <c r="J335" s="6" t="s">
        <v>36</v>
      </c>
      <c r="K335" s="7" t="b">
        <f aca="false">FALSE()</f>
        <v>0</v>
      </c>
    </row>
    <row r="336" customFormat="false" ht="15" hidden="false" customHeight="false" outlineLevel="0" collapsed="false">
      <c r="A336" s="6" t="n">
        <v>313560</v>
      </c>
      <c r="B336" s="6" t="s">
        <v>575</v>
      </c>
      <c r="C336" s="6" t="s">
        <v>171</v>
      </c>
      <c r="D336" s="6" t="s">
        <v>46</v>
      </c>
      <c r="E336" s="6" t="s">
        <v>35</v>
      </c>
      <c r="F336" s="6" t="n">
        <v>9.306222</v>
      </c>
      <c r="G336" s="6" t="n">
        <v>76.803666</v>
      </c>
      <c r="H336" s="6" t="n">
        <v>1</v>
      </c>
      <c r="I336" s="6" t="n">
        <v>30</v>
      </c>
      <c r="J336" s="6" t="s">
        <v>36</v>
      </c>
      <c r="K336" s="7" t="b">
        <f aca="false">FALSE()</f>
        <v>0</v>
      </c>
    </row>
    <row r="337" customFormat="false" ht="15" hidden="false" customHeight="false" outlineLevel="0" collapsed="false">
      <c r="A337" s="6" t="n">
        <v>313559</v>
      </c>
      <c r="B337" s="6" t="s">
        <v>576</v>
      </c>
      <c r="C337" s="6" t="s">
        <v>173</v>
      </c>
      <c r="D337" s="6" t="s">
        <v>46</v>
      </c>
      <c r="E337" s="6" t="s">
        <v>35</v>
      </c>
      <c r="F337" s="6" t="n">
        <v>9.271845</v>
      </c>
      <c r="G337" s="6" t="n">
        <v>76.655088</v>
      </c>
      <c r="H337" s="6" t="n">
        <v>1</v>
      </c>
      <c r="I337" s="6" t="n">
        <v>30</v>
      </c>
      <c r="J337" s="6" t="s">
        <v>36</v>
      </c>
      <c r="K337" s="7" t="b">
        <f aca="false">FALSE()</f>
        <v>0</v>
      </c>
    </row>
    <row r="338" customFormat="false" ht="15" hidden="false" customHeight="false" outlineLevel="0" collapsed="false">
      <c r="A338" s="6" t="n">
        <v>313557</v>
      </c>
      <c r="B338" s="6" t="s">
        <v>577</v>
      </c>
      <c r="C338" s="6" t="s">
        <v>173</v>
      </c>
      <c r="D338" s="6" t="s">
        <v>46</v>
      </c>
      <c r="E338" s="6" t="s">
        <v>35</v>
      </c>
      <c r="F338" s="6" t="n">
        <v>9.301293</v>
      </c>
      <c r="G338" s="6" t="n">
        <v>76.630779</v>
      </c>
      <c r="H338" s="6" t="n">
        <v>3</v>
      </c>
      <c r="I338" s="6" t="n">
        <v>90</v>
      </c>
      <c r="J338" s="6" t="s">
        <v>39</v>
      </c>
      <c r="K338" s="7" t="b">
        <f aca="false">TRUE()</f>
        <v>1</v>
      </c>
    </row>
    <row r="339" customFormat="false" ht="15" hidden="false" customHeight="false" outlineLevel="0" collapsed="false">
      <c r="A339" s="6" t="n">
        <v>313554</v>
      </c>
      <c r="B339" s="6" t="s">
        <v>578</v>
      </c>
      <c r="C339" s="6" t="s">
        <v>579</v>
      </c>
      <c r="D339" s="6" t="s">
        <v>46</v>
      </c>
      <c r="E339" s="6" t="s">
        <v>35</v>
      </c>
      <c r="F339" s="6" t="n">
        <v>9.232506</v>
      </c>
      <c r="G339" s="6" t="n">
        <v>76.537903</v>
      </c>
      <c r="H339" s="6" t="n">
        <v>1</v>
      </c>
      <c r="I339" s="6" t="n">
        <v>25</v>
      </c>
      <c r="J339" s="6" t="s">
        <v>36</v>
      </c>
      <c r="K339" s="7" t="b">
        <f aca="false">FALSE()</f>
        <v>0</v>
      </c>
    </row>
    <row r="340" customFormat="false" ht="15" hidden="false" customHeight="false" outlineLevel="0" collapsed="false">
      <c r="A340" s="6" t="n">
        <v>313553</v>
      </c>
      <c r="B340" s="6" t="s">
        <v>580</v>
      </c>
      <c r="C340" s="6" t="s">
        <v>581</v>
      </c>
      <c r="D340" s="6" t="s">
        <v>46</v>
      </c>
      <c r="E340" s="6" t="s">
        <v>35</v>
      </c>
      <c r="F340" s="6" t="n">
        <v>9.229128</v>
      </c>
      <c r="G340" s="6" t="n">
        <v>76.848391</v>
      </c>
      <c r="H340" s="6" t="n">
        <v>1</v>
      </c>
      <c r="I340" s="6" t="n">
        <v>30</v>
      </c>
      <c r="J340" s="6" t="s">
        <v>36</v>
      </c>
      <c r="K340" s="7" t="b">
        <f aca="false">FALSE()</f>
        <v>0</v>
      </c>
    </row>
    <row r="341" customFormat="false" ht="15" hidden="false" customHeight="false" outlineLevel="0" collapsed="false">
      <c r="A341" s="6" t="n">
        <v>313552</v>
      </c>
      <c r="B341" s="6" t="s">
        <v>582</v>
      </c>
      <c r="C341" s="6" t="s">
        <v>583</v>
      </c>
      <c r="D341" s="6" t="s">
        <v>46</v>
      </c>
      <c r="E341" s="6" t="s">
        <v>35</v>
      </c>
      <c r="F341" s="6" t="n">
        <v>9.187184</v>
      </c>
      <c r="G341" s="6" t="n">
        <v>76.709295</v>
      </c>
      <c r="H341" s="6" t="n">
        <v>2</v>
      </c>
      <c r="I341" s="6" t="n">
        <v>25</v>
      </c>
      <c r="J341" s="6" t="s">
        <v>36</v>
      </c>
      <c r="K341" s="7" t="b">
        <f aca="false">FALSE()</f>
        <v>0</v>
      </c>
    </row>
    <row r="342" customFormat="false" ht="15" hidden="false" customHeight="false" outlineLevel="0" collapsed="false">
      <c r="A342" s="6" t="n">
        <v>313550</v>
      </c>
      <c r="B342" s="6" t="s">
        <v>584</v>
      </c>
      <c r="C342" s="6" t="s">
        <v>583</v>
      </c>
      <c r="D342" s="6" t="s">
        <v>46</v>
      </c>
      <c r="E342" s="6" t="s">
        <v>35</v>
      </c>
      <c r="F342" s="6" t="n">
        <v>9.180308</v>
      </c>
      <c r="G342" s="6" t="n">
        <v>76.708967</v>
      </c>
      <c r="H342" s="6" t="n">
        <v>1</v>
      </c>
      <c r="I342" s="6" t="n">
        <v>30</v>
      </c>
      <c r="J342" s="6" t="s">
        <v>36</v>
      </c>
      <c r="K342" s="7" t="b">
        <f aca="false">FALSE()</f>
        <v>0</v>
      </c>
    </row>
    <row r="343" customFormat="false" ht="15" hidden="false" customHeight="false" outlineLevel="0" collapsed="false">
      <c r="A343" s="6" t="n">
        <v>313549</v>
      </c>
      <c r="B343" s="6" t="s">
        <v>585</v>
      </c>
      <c r="C343" s="6" t="s">
        <v>158</v>
      </c>
      <c r="D343" s="6" t="s">
        <v>46</v>
      </c>
      <c r="E343" s="6" t="s">
        <v>35</v>
      </c>
      <c r="F343" s="6" t="n">
        <v>9.162499</v>
      </c>
      <c r="G343" s="6" t="n">
        <v>76.710517</v>
      </c>
      <c r="H343" s="6" t="n">
        <v>1</v>
      </c>
      <c r="I343" s="6" t="n">
        <v>30</v>
      </c>
      <c r="J343" s="6" t="s">
        <v>36</v>
      </c>
      <c r="K343" s="7" t="b">
        <f aca="false">FALSE()</f>
        <v>0</v>
      </c>
    </row>
    <row r="344" customFormat="false" ht="15" hidden="false" customHeight="false" outlineLevel="0" collapsed="false">
      <c r="A344" s="6" t="n">
        <v>313548</v>
      </c>
      <c r="B344" s="6" t="s">
        <v>586</v>
      </c>
      <c r="C344" s="6" t="s">
        <v>579</v>
      </c>
      <c r="D344" s="6" t="s">
        <v>46</v>
      </c>
      <c r="E344" s="6" t="s">
        <v>35</v>
      </c>
      <c r="F344" s="6" t="n">
        <v>9.198881</v>
      </c>
      <c r="G344" s="6" t="n">
        <v>76.600177</v>
      </c>
      <c r="H344" s="6" t="n">
        <v>2</v>
      </c>
      <c r="I344" s="6" t="n">
        <v>30</v>
      </c>
      <c r="J344" s="6" t="s">
        <v>36</v>
      </c>
      <c r="K344" s="7" t="b">
        <f aca="false">FALSE()</f>
        <v>0</v>
      </c>
    </row>
    <row r="345" customFormat="false" ht="15" hidden="false" customHeight="false" outlineLevel="0" collapsed="false">
      <c r="A345" s="6" t="n">
        <v>313547</v>
      </c>
      <c r="B345" s="6" t="s">
        <v>587</v>
      </c>
      <c r="C345" s="6" t="s">
        <v>588</v>
      </c>
      <c r="D345" s="6" t="s">
        <v>46</v>
      </c>
      <c r="E345" s="6" t="s">
        <v>35</v>
      </c>
      <c r="F345" s="6" t="n">
        <v>9.130626</v>
      </c>
      <c r="G345" s="6" t="n">
        <v>76.514297</v>
      </c>
      <c r="H345" s="6" t="n">
        <v>1</v>
      </c>
      <c r="I345" s="6" t="n">
        <v>30</v>
      </c>
      <c r="J345" s="6" t="s">
        <v>36</v>
      </c>
      <c r="K345" s="7" t="b">
        <f aca="false">FALSE()</f>
        <v>0</v>
      </c>
    </row>
    <row r="346" customFormat="false" ht="15" hidden="false" customHeight="false" outlineLevel="0" collapsed="false">
      <c r="A346" s="6" t="n">
        <v>313546</v>
      </c>
      <c r="B346" s="6" t="s">
        <v>589</v>
      </c>
      <c r="C346" s="6" t="s">
        <v>148</v>
      </c>
      <c r="D346" s="6" t="s">
        <v>46</v>
      </c>
      <c r="E346" s="6" t="s">
        <v>35</v>
      </c>
      <c r="F346" s="6" t="n">
        <v>9.05935</v>
      </c>
      <c r="G346" s="6" t="n">
        <v>76.766004</v>
      </c>
      <c r="H346" s="6" t="n">
        <v>2</v>
      </c>
      <c r="I346" s="6" t="n">
        <v>30</v>
      </c>
      <c r="J346" s="6" t="s">
        <v>36</v>
      </c>
      <c r="K346" s="7" t="b">
        <f aca="false">FALSE()</f>
        <v>0</v>
      </c>
    </row>
    <row r="347" customFormat="false" ht="15" hidden="false" customHeight="false" outlineLevel="0" collapsed="false">
      <c r="A347" s="6" t="n">
        <v>313545</v>
      </c>
      <c r="B347" s="6" t="s">
        <v>590</v>
      </c>
      <c r="C347" s="6" t="s">
        <v>148</v>
      </c>
      <c r="D347" s="6" t="s">
        <v>46</v>
      </c>
      <c r="E347" s="6" t="s">
        <v>35</v>
      </c>
      <c r="F347" s="6" t="n">
        <v>9.030352</v>
      </c>
      <c r="G347" s="6" t="n">
        <v>76.782198</v>
      </c>
      <c r="H347" s="6" t="n">
        <v>1</v>
      </c>
      <c r="I347" s="6" t="n">
        <v>30</v>
      </c>
      <c r="J347" s="6" t="s">
        <v>36</v>
      </c>
      <c r="K347" s="7" t="b">
        <f aca="false">FALSE()</f>
        <v>0</v>
      </c>
    </row>
    <row r="348" customFormat="false" ht="15" hidden="false" customHeight="false" outlineLevel="0" collapsed="false">
      <c r="A348" s="6" t="n">
        <v>313541</v>
      </c>
      <c r="B348" s="6" t="s">
        <v>591</v>
      </c>
      <c r="C348" s="6" t="s">
        <v>592</v>
      </c>
      <c r="D348" s="6" t="s">
        <v>46</v>
      </c>
      <c r="E348" s="6" t="s">
        <v>35</v>
      </c>
      <c r="F348" s="6" t="n">
        <v>8.966824</v>
      </c>
      <c r="G348" s="6" t="n">
        <v>77.05563</v>
      </c>
      <c r="H348" s="6" t="n">
        <v>1</v>
      </c>
      <c r="I348" s="6" t="n">
        <v>30</v>
      </c>
      <c r="J348" s="6" t="s">
        <v>36</v>
      </c>
      <c r="K348" s="7" t="b">
        <f aca="false">FALSE()</f>
        <v>0</v>
      </c>
    </row>
    <row r="349" customFormat="false" ht="15" hidden="false" customHeight="false" outlineLevel="0" collapsed="false">
      <c r="A349" s="6" t="n">
        <v>313540</v>
      </c>
      <c r="B349" s="6" t="s">
        <v>593</v>
      </c>
      <c r="C349" s="6" t="s">
        <v>594</v>
      </c>
      <c r="D349" s="6" t="s">
        <v>46</v>
      </c>
      <c r="E349" s="6" t="s">
        <v>35</v>
      </c>
      <c r="F349" s="6" t="n">
        <v>8.935045</v>
      </c>
      <c r="G349" s="6" t="n">
        <v>76.772415</v>
      </c>
      <c r="H349" s="6" t="n">
        <v>1</v>
      </c>
      <c r="I349" s="6" t="n">
        <v>30</v>
      </c>
      <c r="J349" s="6" t="s">
        <v>36</v>
      </c>
      <c r="K349" s="7" t="b">
        <f aca="false">FALSE()</f>
        <v>0</v>
      </c>
    </row>
    <row r="350" customFormat="false" ht="15" hidden="false" customHeight="false" outlineLevel="0" collapsed="false">
      <c r="A350" s="6" t="n">
        <v>313539</v>
      </c>
      <c r="B350" s="6" t="s">
        <v>595</v>
      </c>
      <c r="C350" s="6" t="s">
        <v>150</v>
      </c>
      <c r="D350" s="6" t="s">
        <v>46</v>
      </c>
      <c r="E350" s="6" t="s">
        <v>35</v>
      </c>
      <c r="F350" s="6" t="n">
        <v>8.957186</v>
      </c>
      <c r="G350" s="6" t="n">
        <v>76.671337</v>
      </c>
      <c r="H350" s="6" t="n">
        <v>6</v>
      </c>
      <c r="I350" s="6" t="n">
        <v>30</v>
      </c>
      <c r="J350" s="6" t="s">
        <v>36</v>
      </c>
      <c r="K350" s="7" t="b">
        <f aca="false">FALSE()</f>
        <v>0</v>
      </c>
    </row>
    <row r="351" customFormat="false" ht="15" hidden="false" customHeight="false" outlineLevel="0" collapsed="false">
      <c r="A351" s="6" t="n">
        <v>313538</v>
      </c>
      <c r="B351" s="6" t="s">
        <v>596</v>
      </c>
      <c r="C351" s="6" t="s">
        <v>597</v>
      </c>
      <c r="D351" s="6" t="s">
        <v>46</v>
      </c>
      <c r="E351" s="6" t="s">
        <v>35</v>
      </c>
      <c r="F351" s="6" t="n">
        <v>8.92697</v>
      </c>
      <c r="G351" s="6" t="n">
        <v>76.552803</v>
      </c>
      <c r="H351" s="6" t="n">
        <v>2</v>
      </c>
      <c r="I351" s="6" t="n">
        <v>60</v>
      </c>
      <c r="J351" s="6" t="s">
        <v>39</v>
      </c>
      <c r="K351" s="7" t="b">
        <f aca="false">TRUE()</f>
        <v>1</v>
      </c>
    </row>
    <row r="352" customFormat="false" ht="15" hidden="false" customHeight="false" outlineLevel="0" collapsed="false">
      <c r="A352" s="6" t="n">
        <v>313537</v>
      </c>
      <c r="B352" s="6" t="s">
        <v>598</v>
      </c>
      <c r="C352" s="6" t="s">
        <v>599</v>
      </c>
      <c r="D352" s="6" t="s">
        <v>46</v>
      </c>
      <c r="E352" s="6" t="s">
        <v>35</v>
      </c>
      <c r="F352" s="6" t="n">
        <v>8.887577</v>
      </c>
      <c r="G352" s="6" t="n">
        <v>76.588437</v>
      </c>
      <c r="H352" s="6" t="n">
        <v>2</v>
      </c>
      <c r="I352" s="6" t="n">
        <v>60</v>
      </c>
      <c r="J352" s="6" t="s">
        <v>39</v>
      </c>
      <c r="K352" s="7" t="b">
        <f aca="false">TRUE()</f>
        <v>1</v>
      </c>
    </row>
    <row r="353" customFormat="false" ht="15" hidden="false" customHeight="false" outlineLevel="0" collapsed="false">
      <c r="A353" s="6" t="n">
        <v>313536</v>
      </c>
      <c r="B353" s="6" t="s">
        <v>600</v>
      </c>
      <c r="C353" s="6" t="s">
        <v>597</v>
      </c>
      <c r="D353" s="6" t="s">
        <v>46</v>
      </c>
      <c r="E353" s="6" t="s">
        <v>35</v>
      </c>
      <c r="F353" s="6" t="n">
        <v>8.873868</v>
      </c>
      <c r="G353" s="6" t="n">
        <v>76.641009</v>
      </c>
      <c r="H353" s="6" t="n">
        <v>1</v>
      </c>
      <c r="I353" s="6" t="n">
        <v>30</v>
      </c>
      <c r="J353" s="6" t="s">
        <v>36</v>
      </c>
      <c r="K353" s="7" t="b">
        <f aca="false">FALSE()</f>
        <v>0</v>
      </c>
    </row>
    <row r="354" customFormat="false" ht="15" hidden="false" customHeight="false" outlineLevel="0" collapsed="false">
      <c r="A354" s="6" t="n">
        <v>313535</v>
      </c>
      <c r="B354" s="6" t="s">
        <v>601</v>
      </c>
      <c r="C354" s="6" t="s">
        <v>602</v>
      </c>
      <c r="D354" s="6" t="s">
        <v>46</v>
      </c>
      <c r="E354" s="6" t="s">
        <v>35</v>
      </c>
      <c r="F354" s="6" t="n">
        <v>8.819674</v>
      </c>
      <c r="G354" s="6" t="n">
        <v>76.753637</v>
      </c>
      <c r="H354" s="6" t="n">
        <v>1</v>
      </c>
      <c r="I354" s="6" t="n">
        <v>30</v>
      </c>
      <c r="J354" s="6" t="s">
        <v>36</v>
      </c>
      <c r="K354" s="7" t="b">
        <f aca="false">FALSE()</f>
        <v>0</v>
      </c>
    </row>
    <row r="355" customFormat="false" ht="15" hidden="false" customHeight="false" outlineLevel="0" collapsed="false">
      <c r="A355" s="6" t="n">
        <v>313534</v>
      </c>
      <c r="B355" s="6" t="s">
        <v>603</v>
      </c>
      <c r="C355" s="6" t="s">
        <v>148</v>
      </c>
      <c r="D355" s="6" t="s">
        <v>46</v>
      </c>
      <c r="E355" s="6" t="s">
        <v>35</v>
      </c>
      <c r="F355" s="6" t="n">
        <v>8.935694</v>
      </c>
      <c r="G355" s="6" t="n">
        <v>76.851049</v>
      </c>
      <c r="H355" s="6" t="n">
        <v>2</v>
      </c>
      <c r="I355" s="6" t="n">
        <v>30</v>
      </c>
      <c r="J355" s="6" t="s">
        <v>36</v>
      </c>
      <c r="K355" s="7" t="b">
        <f aca="false">FALSE()</f>
        <v>0</v>
      </c>
    </row>
    <row r="356" customFormat="false" ht="15" hidden="false" customHeight="false" outlineLevel="0" collapsed="false">
      <c r="A356" s="6" t="n">
        <v>313533</v>
      </c>
      <c r="B356" s="6" t="s">
        <v>604</v>
      </c>
      <c r="C356" s="6" t="s">
        <v>605</v>
      </c>
      <c r="D356" s="6" t="s">
        <v>46</v>
      </c>
      <c r="E356" s="6" t="s">
        <v>35</v>
      </c>
      <c r="F356" s="6" t="n">
        <v>8.86637</v>
      </c>
      <c r="G356" s="6" t="n">
        <v>76.668878</v>
      </c>
      <c r="H356" s="6" t="n">
        <v>6</v>
      </c>
      <c r="I356" s="6" t="n">
        <v>30</v>
      </c>
      <c r="J356" s="6" t="s">
        <v>36</v>
      </c>
      <c r="K356" s="7" t="b">
        <f aca="false">FALSE()</f>
        <v>0</v>
      </c>
    </row>
    <row r="357" customFormat="false" ht="15" hidden="false" customHeight="false" outlineLevel="0" collapsed="false">
      <c r="A357" s="6" t="n">
        <v>313532</v>
      </c>
      <c r="B357" s="6" t="s">
        <v>606</v>
      </c>
      <c r="C357" s="6" t="s">
        <v>141</v>
      </c>
      <c r="D357" s="6" t="s">
        <v>46</v>
      </c>
      <c r="E357" s="6" t="s">
        <v>35</v>
      </c>
      <c r="F357" s="6" t="n">
        <v>8.690988</v>
      </c>
      <c r="G357" s="6" t="n">
        <v>76.848398</v>
      </c>
      <c r="H357" s="6" t="n">
        <v>6</v>
      </c>
      <c r="I357" s="6" t="n">
        <v>30</v>
      </c>
      <c r="J357" s="6" t="s">
        <v>36</v>
      </c>
      <c r="K357" s="7" t="b">
        <f aca="false">FALSE()</f>
        <v>0</v>
      </c>
    </row>
    <row r="358" customFormat="false" ht="15" hidden="false" customHeight="false" outlineLevel="0" collapsed="false">
      <c r="A358" s="6" t="n">
        <v>313531</v>
      </c>
      <c r="B358" s="6" t="s">
        <v>607</v>
      </c>
      <c r="C358" s="6" t="s">
        <v>608</v>
      </c>
      <c r="D358" s="6" t="s">
        <v>46</v>
      </c>
      <c r="E358" s="6" t="s">
        <v>35</v>
      </c>
      <c r="F358" s="6" t="n">
        <v>8.534934</v>
      </c>
      <c r="G358" s="6" t="n">
        <v>76.941984</v>
      </c>
      <c r="H358" s="6" t="n">
        <v>6</v>
      </c>
      <c r="I358" s="6" t="n">
        <v>60</v>
      </c>
      <c r="J358" s="6" t="s">
        <v>39</v>
      </c>
      <c r="K358" s="7" t="b">
        <f aca="false">TRUE()</f>
        <v>1</v>
      </c>
    </row>
    <row r="359" customFormat="false" ht="15" hidden="false" customHeight="false" outlineLevel="0" collapsed="false">
      <c r="A359" s="6" t="n">
        <v>313530</v>
      </c>
      <c r="B359" s="6" t="s">
        <v>609</v>
      </c>
      <c r="C359" s="6" t="s">
        <v>610</v>
      </c>
      <c r="D359" s="6" t="s">
        <v>46</v>
      </c>
      <c r="E359" s="6" t="s">
        <v>35</v>
      </c>
      <c r="F359" s="6" t="n">
        <v>8.516754</v>
      </c>
      <c r="G359" s="6" t="n">
        <v>76.939688</v>
      </c>
      <c r="H359" s="6" t="n">
        <v>6</v>
      </c>
      <c r="I359" s="6" t="n">
        <v>60</v>
      </c>
      <c r="J359" s="6" t="s">
        <v>39</v>
      </c>
      <c r="K359" s="7" t="b">
        <f aca="false">TRUE()</f>
        <v>1</v>
      </c>
    </row>
    <row r="360" customFormat="false" ht="15" hidden="false" customHeight="false" outlineLevel="0" collapsed="false">
      <c r="A360" s="6" t="n">
        <v>313529</v>
      </c>
      <c r="B360" s="6" t="s">
        <v>611</v>
      </c>
      <c r="C360" s="6" t="s">
        <v>119</v>
      </c>
      <c r="D360" s="6" t="s">
        <v>46</v>
      </c>
      <c r="E360" s="6" t="s">
        <v>35</v>
      </c>
      <c r="F360" s="6" t="n">
        <v>11.795232</v>
      </c>
      <c r="G360" s="6" t="n">
        <v>75.490219</v>
      </c>
      <c r="H360" s="6" t="n">
        <v>3</v>
      </c>
      <c r="I360" s="6" t="n">
        <v>60</v>
      </c>
      <c r="J360" s="6" t="s">
        <v>39</v>
      </c>
      <c r="K360" s="7" t="b">
        <f aca="false">TRUE()</f>
        <v>1</v>
      </c>
    </row>
    <row r="361" customFormat="false" ht="15" hidden="false" customHeight="false" outlineLevel="0" collapsed="false">
      <c r="A361" s="6" t="n">
        <v>313528</v>
      </c>
      <c r="B361" s="6" t="s">
        <v>612</v>
      </c>
      <c r="C361" s="6" t="s">
        <v>613</v>
      </c>
      <c r="D361" s="6" t="s">
        <v>46</v>
      </c>
      <c r="E361" s="6" t="s">
        <v>35</v>
      </c>
      <c r="F361" s="6" t="n">
        <v>11.586365</v>
      </c>
      <c r="G361" s="6" t="n">
        <v>75.59322</v>
      </c>
      <c r="H361" s="6" t="n">
        <v>3</v>
      </c>
      <c r="I361" s="6" t="n">
        <v>60</v>
      </c>
      <c r="J361" s="6" t="s">
        <v>39</v>
      </c>
      <c r="K361" s="7" t="b">
        <f aca="false">TRUE()</f>
        <v>1</v>
      </c>
    </row>
    <row r="362" customFormat="false" ht="15" hidden="false" customHeight="false" outlineLevel="0" collapsed="false">
      <c r="A362" s="6" t="n">
        <v>313527</v>
      </c>
      <c r="B362" s="6" t="s">
        <v>614</v>
      </c>
      <c r="C362" s="6" t="s">
        <v>74</v>
      </c>
      <c r="D362" s="6" t="s">
        <v>46</v>
      </c>
      <c r="E362" s="6" t="s">
        <v>35</v>
      </c>
      <c r="F362" s="6" t="n">
        <v>10.975069</v>
      </c>
      <c r="G362" s="6" t="n">
        <v>76.222283</v>
      </c>
      <c r="H362" s="6" t="n">
        <v>3</v>
      </c>
      <c r="I362" s="6" t="n">
        <v>60</v>
      </c>
      <c r="J362" s="6" t="s">
        <v>39</v>
      </c>
      <c r="K362" s="7" t="b">
        <f aca="false">TRUE()</f>
        <v>1</v>
      </c>
    </row>
    <row r="363" customFormat="false" ht="15" hidden="false" customHeight="false" outlineLevel="0" collapsed="false">
      <c r="A363" s="6" t="n">
        <v>313526</v>
      </c>
      <c r="B363" s="6" t="s">
        <v>615</v>
      </c>
      <c r="C363" s="6" t="s">
        <v>290</v>
      </c>
      <c r="D363" s="6" t="s">
        <v>46</v>
      </c>
      <c r="E363" s="6" t="s">
        <v>35</v>
      </c>
      <c r="F363" s="6" t="n">
        <v>10.989259</v>
      </c>
      <c r="G363" s="6" t="n">
        <v>76.537012</v>
      </c>
      <c r="H363" s="6" t="n">
        <v>3</v>
      </c>
      <c r="I363" s="6" t="n">
        <v>60</v>
      </c>
      <c r="J363" s="6" t="s">
        <v>39</v>
      </c>
      <c r="K363" s="7" t="b">
        <f aca="false">TRUE()</f>
        <v>1</v>
      </c>
    </row>
    <row r="364" customFormat="false" ht="15" hidden="false" customHeight="false" outlineLevel="0" collapsed="false">
      <c r="A364" s="6" t="n">
        <v>313525</v>
      </c>
      <c r="B364" s="6" t="s">
        <v>616</v>
      </c>
      <c r="C364" s="6" t="s">
        <v>162</v>
      </c>
      <c r="D364" s="6" t="s">
        <v>46</v>
      </c>
      <c r="E364" s="6" t="s">
        <v>35</v>
      </c>
      <c r="F364" s="6" t="n">
        <v>9.149022</v>
      </c>
      <c r="G364" s="6" t="n">
        <v>76.512918</v>
      </c>
      <c r="H364" s="6" t="n">
        <v>3</v>
      </c>
      <c r="I364" s="6" t="n">
        <v>60</v>
      </c>
      <c r="J364" s="6" t="s">
        <v>39</v>
      </c>
      <c r="K364" s="7" t="b">
        <f aca="false">TRUE()</f>
        <v>1</v>
      </c>
    </row>
    <row r="365" customFormat="false" ht="15" hidden="false" customHeight="false" outlineLevel="0" collapsed="false">
      <c r="A365" s="6" t="n">
        <v>313515</v>
      </c>
      <c r="B365" s="6" t="s">
        <v>617</v>
      </c>
      <c r="C365" s="6" t="s">
        <v>618</v>
      </c>
      <c r="D365" s="6" t="s">
        <v>46</v>
      </c>
      <c r="E365" s="6" t="s">
        <v>35</v>
      </c>
      <c r="F365" s="6" t="n">
        <v>10.781016</v>
      </c>
      <c r="G365" s="6" t="n">
        <v>76.278328</v>
      </c>
      <c r="H365" s="6" t="n">
        <v>3</v>
      </c>
      <c r="I365" s="6" t="n">
        <v>60</v>
      </c>
      <c r="J365" s="6" t="s">
        <v>39</v>
      </c>
      <c r="K365" s="7" t="b">
        <f aca="false">TRUE()</f>
        <v>1</v>
      </c>
    </row>
    <row r="366" customFormat="false" ht="15" hidden="false" customHeight="false" outlineLevel="0" collapsed="false">
      <c r="A366" s="6" t="n">
        <v>313514</v>
      </c>
      <c r="B366" s="6" t="s">
        <v>619</v>
      </c>
      <c r="C366" s="6" t="s">
        <v>66</v>
      </c>
      <c r="D366" s="6" t="s">
        <v>46</v>
      </c>
      <c r="E366" s="6" t="s">
        <v>35</v>
      </c>
      <c r="F366" s="6" t="n">
        <v>10.601582</v>
      </c>
      <c r="G366" s="6" t="n">
        <v>76.214882</v>
      </c>
      <c r="H366" s="6" t="n">
        <v>3</v>
      </c>
      <c r="I366" s="6" t="n">
        <v>60</v>
      </c>
      <c r="J366" s="6" t="s">
        <v>39</v>
      </c>
      <c r="K366" s="7" t="b">
        <f aca="false">TRUE()</f>
        <v>1</v>
      </c>
    </row>
    <row r="367" customFormat="false" ht="15" hidden="false" customHeight="false" outlineLevel="0" collapsed="false">
      <c r="A367" s="6" t="n">
        <v>313513</v>
      </c>
      <c r="B367" s="6" t="s">
        <v>620</v>
      </c>
      <c r="C367" s="6" t="s">
        <v>60</v>
      </c>
      <c r="D367" s="6" t="s">
        <v>46</v>
      </c>
      <c r="E367" s="6" t="s">
        <v>35</v>
      </c>
      <c r="F367" s="6" t="n">
        <v>10.692952</v>
      </c>
      <c r="G367" s="6" t="n">
        <v>76.726262</v>
      </c>
      <c r="H367" s="6" t="n">
        <v>3</v>
      </c>
      <c r="I367" s="6" t="n">
        <v>60</v>
      </c>
      <c r="J367" s="6" t="s">
        <v>39</v>
      </c>
      <c r="K367" s="7" t="b">
        <f aca="false">TRUE()</f>
        <v>1</v>
      </c>
    </row>
    <row r="368" customFormat="false" ht="15" hidden="false" customHeight="false" outlineLevel="0" collapsed="false">
      <c r="A368" s="6" t="n">
        <v>313512</v>
      </c>
      <c r="B368" s="6" t="s">
        <v>621</v>
      </c>
      <c r="C368" s="6" t="s">
        <v>182</v>
      </c>
      <c r="D368" s="6" t="s">
        <v>46</v>
      </c>
      <c r="E368" s="6" t="s">
        <v>35</v>
      </c>
      <c r="F368" s="6" t="n">
        <v>9.849057</v>
      </c>
      <c r="G368" s="6" t="n">
        <v>76.977404</v>
      </c>
      <c r="H368" s="6" t="n">
        <v>3</v>
      </c>
      <c r="I368" s="6" t="n">
        <v>60</v>
      </c>
      <c r="J368" s="6" t="s">
        <v>39</v>
      </c>
      <c r="K368" s="7" t="b">
        <f aca="false">TRUE()</f>
        <v>1</v>
      </c>
    </row>
    <row r="369" customFormat="false" ht="15" hidden="false" customHeight="false" outlineLevel="0" collapsed="false">
      <c r="A369" s="6" t="n">
        <v>313511</v>
      </c>
      <c r="B369" s="6" t="s">
        <v>622</v>
      </c>
      <c r="C369" s="6" t="s">
        <v>222</v>
      </c>
      <c r="D369" s="6" t="s">
        <v>46</v>
      </c>
      <c r="E369" s="6" t="s">
        <v>35</v>
      </c>
      <c r="F369" s="6" t="n">
        <v>9.976989</v>
      </c>
      <c r="G369" s="6" t="n">
        <v>76.277811</v>
      </c>
      <c r="H369" s="6" t="n">
        <v>4</v>
      </c>
      <c r="I369" s="6" t="n">
        <v>60</v>
      </c>
      <c r="J369" s="6" t="s">
        <v>39</v>
      </c>
      <c r="K369" s="7" t="b">
        <f aca="false">TRUE()</f>
        <v>1</v>
      </c>
    </row>
    <row r="370" customFormat="false" ht="15" hidden="false" customHeight="false" outlineLevel="0" collapsed="false">
      <c r="A370" s="6" t="n">
        <v>313510</v>
      </c>
      <c r="B370" s="6" t="s">
        <v>623</v>
      </c>
      <c r="C370" s="6" t="s">
        <v>211</v>
      </c>
      <c r="D370" s="6" t="s">
        <v>46</v>
      </c>
      <c r="E370" s="6" t="s">
        <v>35</v>
      </c>
      <c r="F370" s="6" t="n">
        <v>9.6337</v>
      </c>
      <c r="G370" s="6" t="n">
        <v>76.333722</v>
      </c>
      <c r="H370" s="6" t="n">
        <v>3</v>
      </c>
      <c r="I370" s="6" t="n">
        <v>60</v>
      </c>
      <c r="J370" s="6" t="s">
        <v>39</v>
      </c>
      <c r="K370" s="7" t="b">
        <f aca="false">TRUE()</f>
        <v>1</v>
      </c>
    </row>
    <row r="371" customFormat="false" ht="15" hidden="false" customHeight="false" outlineLevel="0" collapsed="false">
      <c r="A371" s="6" t="n">
        <v>313509</v>
      </c>
      <c r="B371" s="6" t="s">
        <v>624</v>
      </c>
      <c r="C371" s="6" t="s">
        <v>171</v>
      </c>
      <c r="D371" s="6" t="s">
        <v>46</v>
      </c>
      <c r="E371" s="6" t="s">
        <v>35</v>
      </c>
      <c r="F371" s="6" t="n">
        <v>9.218789</v>
      </c>
      <c r="G371" s="6" t="n">
        <v>76.748754</v>
      </c>
      <c r="H371" s="6" t="n">
        <v>3</v>
      </c>
      <c r="I371" s="6" t="n">
        <v>60</v>
      </c>
      <c r="J371" s="6" t="s">
        <v>39</v>
      </c>
      <c r="K371" s="7" t="b">
        <f aca="false">TRUE()</f>
        <v>1</v>
      </c>
    </row>
    <row r="372" customFormat="false" ht="15" hidden="false" customHeight="false" outlineLevel="0" collapsed="false">
      <c r="A372" s="6" t="n">
        <v>313508</v>
      </c>
      <c r="B372" s="6" t="s">
        <v>625</v>
      </c>
      <c r="C372" s="6" t="s">
        <v>131</v>
      </c>
      <c r="D372" s="6" t="s">
        <v>46</v>
      </c>
      <c r="E372" s="6" t="s">
        <v>35</v>
      </c>
      <c r="F372" s="6" t="n">
        <v>8.481015</v>
      </c>
      <c r="G372" s="6" t="n">
        <v>76.912643</v>
      </c>
      <c r="H372" s="6" t="n">
        <v>4</v>
      </c>
      <c r="I372" s="6" t="n">
        <v>60</v>
      </c>
      <c r="J372" s="6" t="s">
        <v>39</v>
      </c>
      <c r="K372" s="7" t="b">
        <f aca="false">TRUE()</f>
        <v>1</v>
      </c>
    </row>
    <row r="373" customFormat="false" ht="15" hidden="false" customHeight="false" outlineLevel="0" collapsed="false">
      <c r="A373" s="6" t="n">
        <v>313507</v>
      </c>
      <c r="B373" s="6" t="s">
        <v>626</v>
      </c>
      <c r="C373" s="6" t="s">
        <v>627</v>
      </c>
      <c r="D373" s="6" t="s">
        <v>46</v>
      </c>
      <c r="E373" s="6" t="s">
        <v>35</v>
      </c>
      <c r="F373" s="6" t="n">
        <v>12.508915</v>
      </c>
      <c r="G373" s="6" t="n">
        <v>75.044784</v>
      </c>
      <c r="H373" s="6" t="n">
        <v>2</v>
      </c>
      <c r="I373" s="6" t="n">
        <v>30</v>
      </c>
      <c r="J373" s="6" t="s">
        <v>36</v>
      </c>
      <c r="K373" s="7" t="b">
        <f aca="false">FALSE()</f>
        <v>0</v>
      </c>
    </row>
    <row r="374" customFormat="false" ht="15" hidden="false" customHeight="false" outlineLevel="0" collapsed="false">
      <c r="A374" s="6" t="n">
        <v>313506</v>
      </c>
      <c r="B374" s="6" t="s">
        <v>628</v>
      </c>
      <c r="C374" s="6" t="s">
        <v>93</v>
      </c>
      <c r="D374" s="6" t="s">
        <v>46</v>
      </c>
      <c r="E374" s="6" t="s">
        <v>35</v>
      </c>
      <c r="F374" s="6" t="n">
        <v>11.382827</v>
      </c>
      <c r="G374" s="6" t="n">
        <v>75.735936</v>
      </c>
      <c r="H374" s="6" t="n">
        <v>2</v>
      </c>
      <c r="I374" s="6" t="n">
        <v>60</v>
      </c>
      <c r="J374" s="6" t="s">
        <v>39</v>
      </c>
      <c r="K374" s="7" t="b">
        <f aca="false">TRUE()</f>
        <v>1</v>
      </c>
    </row>
    <row r="375" customFormat="false" ht="15" hidden="false" customHeight="false" outlineLevel="0" collapsed="false">
      <c r="A375" s="6" t="n">
        <v>313505</v>
      </c>
      <c r="B375" s="6" t="s">
        <v>629</v>
      </c>
      <c r="C375" s="6" t="s">
        <v>93</v>
      </c>
      <c r="D375" s="6" t="s">
        <v>46</v>
      </c>
      <c r="E375" s="6" t="s">
        <v>35</v>
      </c>
      <c r="F375" s="6" t="n">
        <v>11.282499</v>
      </c>
      <c r="G375" s="6" t="n">
        <v>75.769599</v>
      </c>
      <c r="H375" s="6" t="n">
        <v>2</v>
      </c>
      <c r="I375" s="6" t="n">
        <v>30</v>
      </c>
      <c r="J375" s="6" t="s">
        <v>36</v>
      </c>
      <c r="K375" s="7" t="b">
        <f aca="false">FALSE()</f>
        <v>0</v>
      </c>
    </row>
    <row r="376" customFormat="false" ht="15" hidden="false" customHeight="false" outlineLevel="0" collapsed="false">
      <c r="A376" s="6" t="n">
        <v>313504</v>
      </c>
      <c r="B376" s="6" t="s">
        <v>630</v>
      </c>
      <c r="C376" s="6" t="s">
        <v>93</v>
      </c>
      <c r="D376" s="6" t="s">
        <v>46</v>
      </c>
      <c r="E376" s="6" t="s">
        <v>35</v>
      </c>
      <c r="F376" s="6" t="n">
        <v>11.279978</v>
      </c>
      <c r="G376" s="6" t="n">
        <v>75.770481</v>
      </c>
      <c r="H376" s="6" t="n">
        <v>2</v>
      </c>
      <c r="I376" s="6" t="n">
        <v>30</v>
      </c>
      <c r="J376" s="6" t="s">
        <v>36</v>
      </c>
      <c r="K376" s="7" t="b">
        <f aca="false">FALSE()</f>
        <v>0</v>
      </c>
    </row>
    <row r="377" customFormat="false" ht="15" hidden="false" customHeight="false" outlineLevel="0" collapsed="false">
      <c r="A377" s="6" t="n">
        <v>313503</v>
      </c>
      <c r="B377" s="6" t="s">
        <v>631</v>
      </c>
      <c r="C377" s="6" t="s">
        <v>60</v>
      </c>
      <c r="D377" s="6" t="s">
        <v>46</v>
      </c>
      <c r="E377" s="6" t="s">
        <v>35</v>
      </c>
      <c r="F377" s="6" t="n">
        <v>10.790477</v>
      </c>
      <c r="G377" s="6" t="n">
        <v>76.651119</v>
      </c>
      <c r="H377" s="6" t="n">
        <v>2</v>
      </c>
      <c r="I377" s="6" t="n">
        <v>30</v>
      </c>
      <c r="J377" s="6" t="s">
        <v>36</v>
      </c>
      <c r="K377" s="7" t="b">
        <f aca="false">FALSE()</f>
        <v>0</v>
      </c>
    </row>
    <row r="378" customFormat="false" ht="15" hidden="false" customHeight="false" outlineLevel="0" collapsed="false">
      <c r="A378" s="6" t="n">
        <v>313502</v>
      </c>
      <c r="B378" s="6" t="s">
        <v>629</v>
      </c>
      <c r="C378" s="6" t="s">
        <v>66</v>
      </c>
      <c r="D378" s="6" t="s">
        <v>46</v>
      </c>
      <c r="E378" s="6" t="s">
        <v>35</v>
      </c>
      <c r="F378" s="6" t="n">
        <v>10.471047</v>
      </c>
      <c r="G378" s="6" t="n">
        <v>76.257459</v>
      </c>
      <c r="H378" s="6" t="n">
        <v>2</v>
      </c>
      <c r="I378" s="6" t="n">
        <v>30</v>
      </c>
      <c r="J378" s="6" t="s">
        <v>36</v>
      </c>
      <c r="K378" s="7" t="b">
        <f aca="false">FALSE()</f>
        <v>0</v>
      </c>
    </row>
    <row r="379" customFormat="false" ht="15" hidden="false" customHeight="false" outlineLevel="0" collapsed="false">
      <c r="A379" s="6" t="n">
        <v>313501</v>
      </c>
      <c r="B379" s="6" t="s">
        <v>632</v>
      </c>
      <c r="C379" s="6" t="s">
        <v>482</v>
      </c>
      <c r="D379" s="6" t="s">
        <v>46</v>
      </c>
      <c r="E379" s="6" t="s">
        <v>35</v>
      </c>
      <c r="F379" s="6" t="n">
        <v>10.029828</v>
      </c>
      <c r="G379" s="6" t="n">
        <v>76.308134</v>
      </c>
      <c r="H379" s="6" t="n">
        <v>2</v>
      </c>
      <c r="I379" s="6" t="n">
        <v>30</v>
      </c>
      <c r="J379" s="6" t="s">
        <v>36</v>
      </c>
      <c r="K379" s="7" t="b">
        <f aca="false">FALSE()</f>
        <v>0</v>
      </c>
    </row>
    <row r="380" customFormat="false" ht="15" hidden="false" customHeight="false" outlineLevel="0" collapsed="false">
      <c r="A380" s="6" t="n">
        <v>313500</v>
      </c>
      <c r="B380" s="6" t="s">
        <v>633</v>
      </c>
      <c r="C380" s="6" t="s">
        <v>222</v>
      </c>
      <c r="D380" s="6" t="s">
        <v>46</v>
      </c>
      <c r="E380" s="6" t="s">
        <v>35</v>
      </c>
      <c r="F380" s="6" t="n">
        <v>9.933863</v>
      </c>
      <c r="G380" s="6" t="n">
        <v>76.316874</v>
      </c>
      <c r="H380" s="6" t="n">
        <v>2</v>
      </c>
      <c r="I380" s="6" t="n">
        <v>30</v>
      </c>
      <c r="J380" s="6" t="s">
        <v>36</v>
      </c>
      <c r="K380" s="7" t="b">
        <f aca="false">FALSE()</f>
        <v>0</v>
      </c>
    </row>
    <row r="381" customFormat="false" ht="15" hidden="false" customHeight="false" outlineLevel="0" collapsed="false">
      <c r="A381" s="6" t="n">
        <v>313499</v>
      </c>
      <c r="B381" s="6" t="s">
        <v>634</v>
      </c>
      <c r="C381" s="6" t="s">
        <v>222</v>
      </c>
      <c r="D381" s="6" t="s">
        <v>46</v>
      </c>
      <c r="E381" s="6" t="s">
        <v>35</v>
      </c>
      <c r="F381" s="6" t="n">
        <v>9.92299</v>
      </c>
      <c r="G381" s="6" t="n">
        <v>76.317689</v>
      </c>
      <c r="H381" s="6" t="n">
        <v>2</v>
      </c>
      <c r="I381" s="6" t="n">
        <v>90</v>
      </c>
      <c r="J381" s="6" t="s">
        <v>39</v>
      </c>
      <c r="K381" s="7" t="b">
        <f aca="false">TRUE()</f>
        <v>1</v>
      </c>
    </row>
    <row r="382" customFormat="false" ht="15" hidden="false" customHeight="false" outlineLevel="0" collapsed="false">
      <c r="A382" s="6" t="n">
        <v>313498</v>
      </c>
      <c r="B382" s="6" t="s">
        <v>635</v>
      </c>
      <c r="C382" s="6" t="s">
        <v>514</v>
      </c>
      <c r="D382" s="6" t="s">
        <v>46</v>
      </c>
      <c r="E382" s="6" t="s">
        <v>35</v>
      </c>
      <c r="F382" s="6" t="n">
        <v>9.973784</v>
      </c>
      <c r="G382" s="6" t="n">
        <v>76.600694</v>
      </c>
      <c r="H382" s="6" t="n">
        <v>1</v>
      </c>
      <c r="I382" s="6" t="n">
        <v>30</v>
      </c>
      <c r="J382" s="6" t="s">
        <v>36</v>
      </c>
      <c r="K382" s="7" t="b">
        <f aca="false">FALSE()</f>
        <v>0</v>
      </c>
    </row>
    <row r="383" customFormat="false" ht="15" hidden="false" customHeight="false" outlineLevel="0" collapsed="false">
      <c r="A383" s="6" t="n">
        <v>313497</v>
      </c>
      <c r="B383" s="6" t="s">
        <v>635</v>
      </c>
      <c r="C383" s="6" t="s">
        <v>182</v>
      </c>
      <c r="D383" s="6" t="s">
        <v>46</v>
      </c>
      <c r="E383" s="6" t="s">
        <v>35</v>
      </c>
      <c r="F383" s="6" t="n">
        <v>9.892548</v>
      </c>
      <c r="G383" s="6" t="n">
        <v>76.711894</v>
      </c>
      <c r="H383" s="6" t="n">
        <v>2</v>
      </c>
      <c r="I383" s="6" t="n">
        <v>30</v>
      </c>
      <c r="J383" s="6" t="s">
        <v>36</v>
      </c>
      <c r="K383" s="7" t="b">
        <f aca="false">FALSE()</f>
        <v>0</v>
      </c>
    </row>
    <row r="384" customFormat="false" ht="15" hidden="false" customHeight="false" outlineLevel="0" collapsed="false">
      <c r="A384" s="6" t="n">
        <v>313496</v>
      </c>
      <c r="B384" s="6" t="s">
        <v>636</v>
      </c>
      <c r="C384" s="6" t="s">
        <v>204</v>
      </c>
      <c r="D384" s="6" t="s">
        <v>46</v>
      </c>
      <c r="E384" s="6" t="s">
        <v>35</v>
      </c>
      <c r="F384" s="6" t="n">
        <v>9.661688</v>
      </c>
      <c r="G384" s="6" t="n">
        <v>76.551137</v>
      </c>
      <c r="H384" s="6" t="n">
        <v>2</v>
      </c>
      <c r="I384" s="6" t="n">
        <v>30</v>
      </c>
      <c r="J384" s="6" t="s">
        <v>36</v>
      </c>
      <c r="K384" s="7" t="b">
        <f aca="false">FALSE()</f>
        <v>0</v>
      </c>
    </row>
    <row r="385" customFormat="false" ht="15" hidden="false" customHeight="false" outlineLevel="0" collapsed="false">
      <c r="A385" s="6" t="n">
        <v>313495</v>
      </c>
      <c r="B385" s="6" t="s">
        <v>637</v>
      </c>
      <c r="C385" s="6" t="s">
        <v>171</v>
      </c>
      <c r="D385" s="6" t="s">
        <v>46</v>
      </c>
      <c r="E385" s="6" t="s">
        <v>35</v>
      </c>
      <c r="F385" s="6" t="n">
        <v>9.277745</v>
      </c>
      <c r="G385" s="6" t="n">
        <v>76.754683</v>
      </c>
      <c r="H385" s="6" t="n">
        <v>2</v>
      </c>
      <c r="I385" s="6" t="n">
        <v>30</v>
      </c>
      <c r="J385" s="6" t="s">
        <v>36</v>
      </c>
      <c r="K385" s="7" t="b">
        <f aca="false">FALSE()</f>
        <v>0</v>
      </c>
    </row>
    <row r="386" customFormat="false" ht="15" hidden="false" customHeight="false" outlineLevel="0" collapsed="false">
      <c r="A386" s="6" t="n">
        <v>313494</v>
      </c>
      <c r="B386" s="6" t="s">
        <v>638</v>
      </c>
      <c r="C386" s="6" t="s">
        <v>162</v>
      </c>
      <c r="D386" s="6" t="s">
        <v>46</v>
      </c>
      <c r="E386" s="6" t="s">
        <v>35</v>
      </c>
      <c r="F386" s="6" t="n">
        <v>9.169962</v>
      </c>
      <c r="G386" s="6" t="n">
        <v>76.498088</v>
      </c>
      <c r="H386" s="6" t="n">
        <v>2</v>
      </c>
      <c r="I386" s="6" t="n">
        <v>30</v>
      </c>
      <c r="J386" s="6" t="s">
        <v>36</v>
      </c>
      <c r="K386" s="7" t="b">
        <f aca="false">FALSE()</f>
        <v>0</v>
      </c>
    </row>
    <row r="387" customFormat="false" ht="15" hidden="false" customHeight="false" outlineLevel="0" collapsed="false">
      <c r="A387" s="6" t="n">
        <v>313493</v>
      </c>
      <c r="B387" s="6" t="s">
        <v>639</v>
      </c>
      <c r="C387" s="6" t="s">
        <v>164</v>
      </c>
      <c r="D387" s="6" t="s">
        <v>46</v>
      </c>
      <c r="E387" s="6" t="s">
        <v>35</v>
      </c>
      <c r="F387" s="6" t="n">
        <v>9.052355</v>
      </c>
      <c r="G387" s="6" t="n">
        <v>76.535461</v>
      </c>
      <c r="H387" s="6" t="n">
        <v>2</v>
      </c>
      <c r="I387" s="6" t="n">
        <v>30</v>
      </c>
      <c r="J387" s="6" t="s">
        <v>36</v>
      </c>
      <c r="K387" s="7" t="b">
        <f aca="false">FALSE()</f>
        <v>0</v>
      </c>
    </row>
    <row r="388" customFormat="false" ht="15" hidden="false" customHeight="false" outlineLevel="0" collapsed="false">
      <c r="A388" s="6" t="n">
        <v>313492</v>
      </c>
      <c r="B388" s="6" t="s">
        <v>640</v>
      </c>
      <c r="C388" s="6" t="s">
        <v>164</v>
      </c>
      <c r="D388" s="6" t="s">
        <v>46</v>
      </c>
      <c r="E388" s="6" t="s">
        <v>35</v>
      </c>
      <c r="F388" s="6" t="n">
        <v>9.046053</v>
      </c>
      <c r="G388" s="6" t="n">
        <v>76.536631</v>
      </c>
      <c r="H388" s="6" t="n">
        <v>2</v>
      </c>
      <c r="I388" s="6" t="n">
        <v>30</v>
      </c>
      <c r="J388" s="6" t="s">
        <v>36</v>
      </c>
      <c r="K388" s="7" t="b">
        <f aca="false">FALSE()</f>
        <v>0</v>
      </c>
    </row>
    <row r="389" customFormat="false" ht="15" hidden="false" customHeight="false" outlineLevel="0" collapsed="false">
      <c r="A389" s="6" t="n">
        <v>313491</v>
      </c>
      <c r="B389" s="6" t="s">
        <v>641</v>
      </c>
      <c r="C389" s="6" t="s">
        <v>597</v>
      </c>
      <c r="D389" s="6" t="s">
        <v>46</v>
      </c>
      <c r="E389" s="6" t="s">
        <v>35</v>
      </c>
      <c r="F389" s="6" t="n">
        <v>8.915427</v>
      </c>
      <c r="G389" s="6" t="n">
        <v>76.614869</v>
      </c>
      <c r="H389" s="6" t="n">
        <v>3</v>
      </c>
      <c r="I389" s="6" t="n">
        <v>30</v>
      </c>
      <c r="J389" s="6" t="s">
        <v>36</v>
      </c>
      <c r="K389" s="7" t="b">
        <f aca="false">FALSE()</f>
        <v>0</v>
      </c>
    </row>
    <row r="390" customFormat="false" ht="15" hidden="false" customHeight="false" outlineLevel="0" collapsed="false">
      <c r="A390" s="6" t="n">
        <v>313490</v>
      </c>
      <c r="B390" s="6" t="s">
        <v>642</v>
      </c>
      <c r="C390" s="6" t="s">
        <v>597</v>
      </c>
      <c r="D390" s="6" t="s">
        <v>46</v>
      </c>
      <c r="E390" s="6" t="s">
        <v>35</v>
      </c>
      <c r="F390" s="6" t="n">
        <v>8.911105</v>
      </c>
      <c r="G390" s="6" t="n">
        <v>76.627353</v>
      </c>
      <c r="H390" s="6" t="n">
        <v>2</v>
      </c>
      <c r="I390" s="6" t="n">
        <v>30</v>
      </c>
      <c r="J390" s="6" t="s">
        <v>36</v>
      </c>
      <c r="K390" s="7" t="b">
        <f aca="false">FALSE()</f>
        <v>0</v>
      </c>
    </row>
    <row r="391" customFormat="false" ht="15" hidden="false" customHeight="false" outlineLevel="0" collapsed="false">
      <c r="A391" s="6" t="n">
        <v>313489</v>
      </c>
      <c r="B391" s="6" t="s">
        <v>643</v>
      </c>
      <c r="C391" s="6" t="s">
        <v>644</v>
      </c>
      <c r="D391" s="6" t="s">
        <v>46</v>
      </c>
      <c r="E391" s="6" t="s">
        <v>35</v>
      </c>
      <c r="F391" s="6" t="n">
        <v>8.737548</v>
      </c>
      <c r="G391" s="6" t="n">
        <v>76.707898</v>
      </c>
      <c r="H391" s="6" t="n">
        <v>2</v>
      </c>
      <c r="I391" s="6" t="n">
        <v>30</v>
      </c>
      <c r="J391" s="6" t="s">
        <v>36</v>
      </c>
      <c r="K391" s="7" t="b">
        <f aca="false">FALSE()</f>
        <v>0</v>
      </c>
    </row>
    <row r="392" customFormat="false" ht="15" hidden="false" customHeight="false" outlineLevel="0" collapsed="false">
      <c r="A392" s="6" t="n">
        <v>313488</v>
      </c>
      <c r="B392" s="6" t="s">
        <v>645</v>
      </c>
      <c r="C392" s="6" t="s">
        <v>131</v>
      </c>
      <c r="D392" s="6" t="s">
        <v>46</v>
      </c>
      <c r="E392" s="6" t="s">
        <v>35</v>
      </c>
      <c r="F392" s="6" t="n">
        <v>8.535706</v>
      </c>
      <c r="G392" s="6" t="n">
        <v>76.965262</v>
      </c>
      <c r="H392" s="6" t="n">
        <v>2</v>
      </c>
      <c r="I392" s="6" t="n">
        <v>30</v>
      </c>
      <c r="J392" s="6" t="s">
        <v>36</v>
      </c>
      <c r="K392" s="7" t="b">
        <f aca="false">FALSE()</f>
        <v>0</v>
      </c>
    </row>
    <row r="393" customFormat="false" ht="15" hidden="false" customHeight="false" outlineLevel="0" collapsed="false">
      <c r="A393" s="6" t="n">
        <v>313475</v>
      </c>
      <c r="B393" s="6" t="s">
        <v>646</v>
      </c>
      <c r="C393" s="6" t="s">
        <v>330</v>
      </c>
      <c r="D393" s="6" t="s">
        <v>46</v>
      </c>
      <c r="E393" s="6" t="s">
        <v>35</v>
      </c>
      <c r="F393" s="6" t="n">
        <v>12.304242</v>
      </c>
      <c r="G393" s="6" t="n">
        <v>75.097042</v>
      </c>
      <c r="H393" s="6" t="n">
        <v>1</v>
      </c>
      <c r="I393" s="6" t="n">
        <v>50</v>
      </c>
      <c r="J393" s="6" t="s">
        <v>39</v>
      </c>
      <c r="K393" s="7" t="b">
        <f aca="false">TRUE()</f>
        <v>1</v>
      </c>
    </row>
    <row r="394" customFormat="false" ht="15" hidden="false" customHeight="false" outlineLevel="0" collapsed="false">
      <c r="A394" s="6" t="n">
        <v>313474</v>
      </c>
      <c r="B394" s="6" t="s">
        <v>647</v>
      </c>
      <c r="C394" s="6" t="s">
        <v>119</v>
      </c>
      <c r="D394" s="6" t="s">
        <v>46</v>
      </c>
      <c r="E394" s="6" t="s">
        <v>35</v>
      </c>
      <c r="F394" s="6" t="n">
        <v>11.927017</v>
      </c>
      <c r="G394" s="6" t="n">
        <v>75.500422</v>
      </c>
      <c r="H394" s="6" t="n">
        <v>1</v>
      </c>
      <c r="I394" s="6" t="n">
        <v>30</v>
      </c>
      <c r="J394" s="6" t="s">
        <v>36</v>
      </c>
      <c r="K394" s="7" t="b">
        <f aca="false">FALSE()</f>
        <v>0</v>
      </c>
    </row>
    <row r="395" customFormat="false" ht="15" hidden="false" customHeight="false" outlineLevel="0" collapsed="false">
      <c r="A395" s="6" t="n">
        <v>313472</v>
      </c>
      <c r="B395" s="6" t="s">
        <v>648</v>
      </c>
      <c r="C395" s="6" t="s">
        <v>649</v>
      </c>
      <c r="D395" s="6" t="s">
        <v>46</v>
      </c>
      <c r="E395" s="6" t="s">
        <v>35</v>
      </c>
      <c r="F395" s="6" t="n">
        <v>11.787886</v>
      </c>
      <c r="G395" s="6" t="n">
        <v>75.533021</v>
      </c>
      <c r="H395" s="6" t="n">
        <v>3</v>
      </c>
      <c r="I395" s="6" t="n">
        <v>30</v>
      </c>
      <c r="J395" s="6" t="s">
        <v>36</v>
      </c>
      <c r="K395" s="7" t="b">
        <f aca="false">FALSE()</f>
        <v>0</v>
      </c>
    </row>
    <row r="396" customFormat="false" ht="15" hidden="false" customHeight="false" outlineLevel="0" collapsed="false">
      <c r="A396" s="6" t="n">
        <v>313471</v>
      </c>
      <c r="B396" s="6" t="s">
        <v>650</v>
      </c>
      <c r="C396" s="6" t="s">
        <v>651</v>
      </c>
      <c r="D396" s="6" t="s">
        <v>46</v>
      </c>
      <c r="E396" s="6" t="s">
        <v>35</v>
      </c>
      <c r="F396" s="6" t="n">
        <v>11.745123</v>
      </c>
      <c r="G396" s="6" t="n">
        <v>75.495419</v>
      </c>
      <c r="H396" s="6" t="n">
        <v>2</v>
      </c>
      <c r="I396" s="6" t="n">
        <v>60</v>
      </c>
      <c r="J396" s="6" t="s">
        <v>39</v>
      </c>
      <c r="K396" s="7" t="b">
        <f aca="false">TRUE()</f>
        <v>1</v>
      </c>
    </row>
    <row r="397" customFormat="false" ht="15" hidden="false" customHeight="false" outlineLevel="0" collapsed="false">
      <c r="A397" s="6" t="n">
        <v>313469</v>
      </c>
      <c r="B397" s="6" t="s">
        <v>652</v>
      </c>
      <c r="C397" s="6" t="s">
        <v>653</v>
      </c>
      <c r="D397" s="6" t="s">
        <v>46</v>
      </c>
      <c r="E397" s="6" t="s">
        <v>35</v>
      </c>
      <c r="F397" s="6" t="n">
        <v>11.661242</v>
      </c>
      <c r="G397" s="6" t="n">
        <v>76.255681</v>
      </c>
      <c r="H397" s="6" t="n">
        <v>1</v>
      </c>
      <c r="I397" s="6" t="n">
        <v>24</v>
      </c>
      <c r="J397" s="6" t="s">
        <v>36</v>
      </c>
      <c r="K397" s="7" t="b">
        <f aca="false">FALSE()</f>
        <v>0</v>
      </c>
    </row>
    <row r="398" customFormat="false" ht="15" hidden="false" customHeight="false" outlineLevel="0" collapsed="false">
      <c r="A398" s="6" t="n">
        <v>313468</v>
      </c>
      <c r="B398" s="6" t="s">
        <v>654</v>
      </c>
      <c r="C398" s="6" t="s">
        <v>107</v>
      </c>
      <c r="D398" s="6" t="s">
        <v>46</v>
      </c>
      <c r="E398" s="6" t="s">
        <v>35</v>
      </c>
      <c r="F398" s="6" t="n">
        <v>11.630456</v>
      </c>
      <c r="G398" s="6" t="n">
        <v>76.018146</v>
      </c>
      <c r="H398" s="6" t="n">
        <v>1</v>
      </c>
      <c r="I398" s="6" t="n">
        <v>22</v>
      </c>
      <c r="J398" s="6" t="s">
        <v>36</v>
      </c>
      <c r="K398" s="7" t="b">
        <f aca="false">FALSE()</f>
        <v>0</v>
      </c>
    </row>
    <row r="399" customFormat="false" ht="15" hidden="false" customHeight="false" outlineLevel="0" collapsed="false">
      <c r="A399" s="6" t="n">
        <v>313467</v>
      </c>
      <c r="B399" s="6" t="s">
        <v>655</v>
      </c>
      <c r="C399" s="6" t="s">
        <v>107</v>
      </c>
      <c r="D399" s="6" t="s">
        <v>46</v>
      </c>
      <c r="E399" s="6" t="s">
        <v>35</v>
      </c>
      <c r="F399" s="6" t="n">
        <v>11.603114</v>
      </c>
      <c r="G399" s="6" t="n">
        <v>76.083149</v>
      </c>
      <c r="H399" s="6" t="n">
        <v>1</v>
      </c>
      <c r="I399" s="6" t="n">
        <v>24</v>
      </c>
      <c r="J399" s="6" t="s">
        <v>36</v>
      </c>
      <c r="K399" s="7" t="b">
        <f aca="false">FALSE()</f>
        <v>0</v>
      </c>
    </row>
    <row r="400" customFormat="false" ht="15" hidden="false" customHeight="false" outlineLevel="0" collapsed="false">
      <c r="A400" s="6" t="n">
        <v>313465</v>
      </c>
      <c r="B400" s="6" t="s">
        <v>656</v>
      </c>
      <c r="C400" s="6" t="s">
        <v>93</v>
      </c>
      <c r="D400" s="6" t="s">
        <v>46</v>
      </c>
      <c r="E400" s="6" t="s">
        <v>35</v>
      </c>
      <c r="F400" s="6" t="n">
        <v>11.248102</v>
      </c>
      <c r="G400" s="6" t="n">
        <v>75.834136</v>
      </c>
      <c r="H400" s="6" t="n">
        <v>4</v>
      </c>
      <c r="I400" s="6" t="n">
        <v>120</v>
      </c>
      <c r="J400" s="6" t="s">
        <v>39</v>
      </c>
      <c r="K400" s="7" t="b">
        <f aca="false">TRUE()</f>
        <v>1</v>
      </c>
    </row>
    <row r="401" customFormat="false" ht="15" hidden="false" customHeight="false" outlineLevel="0" collapsed="false">
      <c r="A401" s="6" t="n">
        <v>313464</v>
      </c>
      <c r="B401" s="6" t="s">
        <v>657</v>
      </c>
      <c r="C401" s="6" t="s">
        <v>93</v>
      </c>
      <c r="D401" s="6" t="s">
        <v>46</v>
      </c>
      <c r="E401" s="6" t="s">
        <v>35</v>
      </c>
      <c r="F401" s="6" t="n">
        <v>11.247016</v>
      </c>
      <c r="G401" s="6" t="n">
        <v>75.834679</v>
      </c>
      <c r="H401" s="6" t="n">
        <v>3</v>
      </c>
      <c r="I401" s="6" t="n">
        <v>60</v>
      </c>
      <c r="J401" s="6" t="s">
        <v>39</v>
      </c>
      <c r="K401" s="7" t="b">
        <f aca="false">TRUE()</f>
        <v>1</v>
      </c>
    </row>
    <row r="402" customFormat="false" ht="15" hidden="false" customHeight="false" outlineLevel="0" collapsed="false">
      <c r="A402" s="6" t="n">
        <v>313461</v>
      </c>
      <c r="B402" s="6" t="s">
        <v>655</v>
      </c>
      <c r="C402" s="6" t="s">
        <v>388</v>
      </c>
      <c r="D402" s="6" t="s">
        <v>46</v>
      </c>
      <c r="E402" s="6" t="s">
        <v>35</v>
      </c>
      <c r="F402" s="6" t="n">
        <v>10.995739</v>
      </c>
      <c r="G402" s="6" t="n">
        <v>75.99211</v>
      </c>
      <c r="H402" s="6" t="n">
        <v>2</v>
      </c>
      <c r="I402" s="6" t="n">
        <v>60</v>
      </c>
      <c r="J402" s="6" t="s">
        <v>39</v>
      </c>
      <c r="K402" s="7" t="b">
        <f aca="false">TRUE()</f>
        <v>1</v>
      </c>
    </row>
    <row r="403" customFormat="false" ht="15" hidden="false" customHeight="false" outlineLevel="0" collapsed="false">
      <c r="A403" s="6" t="n">
        <v>313460</v>
      </c>
      <c r="B403" s="6" t="s">
        <v>658</v>
      </c>
      <c r="C403" s="6" t="s">
        <v>388</v>
      </c>
      <c r="D403" s="6" t="s">
        <v>46</v>
      </c>
      <c r="E403" s="6" t="s">
        <v>35</v>
      </c>
      <c r="F403" s="6" t="n">
        <v>10.983867</v>
      </c>
      <c r="G403" s="6" t="n">
        <v>75.99803</v>
      </c>
      <c r="H403" s="6" t="n">
        <v>1</v>
      </c>
      <c r="I403" s="6" t="n">
        <v>24</v>
      </c>
      <c r="J403" s="6" t="s">
        <v>36</v>
      </c>
      <c r="K403" s="7" t="b">
        <f aca="false">FALSE()</f>
        <v>0</v>
      </c>
    </row>
    <row r="404" customFormat="false" ht="15" hidden="false" customHeight="false" outlineLevel="0" collapsed="false">
      <c r="A404" s="6" t="n">
        <v>313459</v>
      </c>
      <c r="B404" s="6" t="s">
        <v>659</v>
      </c>
      <c r="C404" s="6" t="s">
        <v>660</v>
      </c>
      <c r="D404" s="6" t="s">
        <v>46</v>
      </c>
      <c r="E404" s="6" t="s">
        <v>35</v>
      </c>
      <c r="F404" s="6" t="n">
        <v>10.907726</v>
      </c>
      <c r="G404" s="6" t="n">
        <v>75.920326</v>
      </c>
      <c r="H404" s="6" t="n">
        <v>2</v>
      </c>
      <c r="I404" s="6" t="n">
        <v>60</v>
      </c>
      <c r="J404" s="6" t="s">
        <v>39</v>
      </c>
      <c r="K404" s="7" t="b">
        <f aca="false">TRUE()</f>
        <v>1</v>
      </c>
    </row>
    <row r="405" customFormat="false" ht="15" hidden="false" customHeight="false" outlineLevel="0" collapsed="false">
      <c r="A405" s="6" t="n">
        <v>313458</v>
      </c>
      <c r="B405" s="6" t="s">
        <v>661</v>
      </c>
      <c r="C405" s="6" t="s">
        <v>294</v>
      </c>
      <c r="D405" s="6" t="s">
        <v>46</v>
      </c>
      <c r="E405" s="6" t="s">
        <v>35</v>
      </c>
      <c r="F405" s="6" t="n">
        <v>10.786021</v>
      </c>
      <c r="G405" s="6" t="n">
        <v>76.008162</v>
      </c>
      <c r="H405" s="6" t="n">
        <v>1</v>
      </c>
      <c r="I405" s="6" t="n">
        <v>24</v>
      </c>
      <c r="J405" s="6" t="s">
        <v>36</v>
      </c>
      <c r="K405" s="7" t="b">
        <f aca="false">FALSE()</f>
        <v>0</v>
      </c>
    </row>
    <row r="406" customFormat="false" ht="15" hidden="false" customHeight="false" outlineLevel="0" collapsed="false">
      <c r="A406" s="6" t="n">
        <v>313456</v>
      </c>
      <c r="B406" s="6" t="s">
        <v>662</v>
      </c>
      <c r="C406" s="6" t="s">
        <v>70</v>
      </c>
      <c r="D406" s="6" t="s">
        <v>46</v>
      </c>
      <c r="E406" s="6" t="s">
        <v>35</v>
      </c>
      <c r="F406" s="6" t="n">
        <v>10.595623</v>
      </c>
      <c r="G406" s="6" t="n">
        <v>76.044598</v>
      </c>
      <c r="H406" s="6" t="n">
        <v>1</v>
      </c>
      <c r="I406" s="6" t="n">
        <v>24</v>
      </c>
      <c r="J406" s="6" t="s">
        <v>36</v>
      </c>
      <c r="K406" s="7" t="b">
        <f aca="false">FALSE()</f>
        <v>0</v>
      </c>
    </row>
    <row r="407" customFormat="false" ht="15" hidden="false" customHeight="false" outlineLevel="0" collapsed="false">
      <c r="A407" s="6" t="n">
        <v>313455</v>
      </c>
      <c r="B407" s="6" t="s">
        <v>663</v>
      </c>
      <c r="C407" s="6" t="s">
        <v>66</v>
      </c>
      <c r="D407" s="6" t="s">
        <v>46</v>
      </c>
      <c r="E407" s="6" t="s">
        <v>35</v>
      </c>
      <c r="F407" s="6" t="n">
        <v>10.539926</v>
      </c>
      <c r="G407" s="6" t="n">
        <v>76.192888</v>
      </c>
      <c r="H407" s="6" t="n">
        <v>2</v>
      </c>
      <c r="I407" s="6" t="n">
        <v>60</v>
      </c>
      <c r="J407" s="6" t="s">
        <v>39</v>
      </c>
      <c r="K407" s="7" t="b">
        <f aca="false">TRUE()</f>
        <v>1</v>
      </c>
    </row>
    <row r="408" customFormat="false" ht="15" hidden="false" customHeight="false" outlineLevel="0" collapsed="false">
      <c r="A408" s="6" t="n">
        <v>313454</v>
      </c>
      <c r="B408" s="6" t="s">
        <v>664</v>
      </c>
      <c r="C408" s="6" t="s">
        <v>665</v>
      </c>
      <c r="D408" s="6" t="s">
        <v>46</v>
      </c>
      <c r="E408" s="6" t="s">
        <v>35</v>
      </c>
      <c r="F408" s="6" t="n">
        <v>10.555872</v>
      </c>
      <c r="G408" s="6" t="n">
        <v>76.322823</v>
      </c>
      <c r="H408" s="6" t="n">
        <v>1</v>
      </c>
      <c r="I408" s="6" t="n">
        <v>24</v>
      </c>
      <c r="J408" s="6" t="s">
        <v>36</v>
      </c>
      <c r="K408" s="7" t="b">
        <f aca="false">FALSE()</f>
        <v>0</v>
      </c>
    </row>
    <row r="409" customFormat="false" ht="15" hidden="false" customHeight="false" outlineLevel="0" collapsed="false">
      <c r="A409" s="6" t="n">
        <v>313453</v>
      </c>
      <c r="B409" s="6" t="s">
        <v>666</v>
      </c>
      <c r="C409" s="6" t="s">
        <v>66</v>
      </c>
      <c r="D409" s="6" t="s">
        <v>46</v>
      </c>
      <c r="E409" s="6" t="s">
        <v>35</v>
      </c>
      <c r="F409" s="6" t="n">
        <v>10.51276</v>
      </c>
      <c r="G409" s="6" t="n">
        <v>76.258917</v>
      </c>
      <c r="H409" s="6" t="n">
        <v>2</v>
      </c>
      <c r="I409" s="6" t="n">
        <v>60</v>
      </c>
      <c r="J409" s="6" t="s">
        <v>39</v>
      </c>
      <c r="K409" s="7" t="b">
        <f aca="false">TRUE()</f>
        <v>1</v>
      </c>
    </row>
    <row r="410" customFormat="false" ht="15" hidden="false" customHeight="false" outlineLevel="0" collapsed="false">
      <c r="A410" s="6" t="n">
        <v>313452</v>
      </c>
      <c r="B410" s="6" t="s">
        <v>667</v>
      </c>
      <c r="C410" s="6" t="s">
        <v>66</v>
      </c>
      <c r="D410" s="6" t="s">
        <v>46</v>
      </c>
      <c r="E410" s="6" t="s">
        <v>35</v>
      </c>
      <c r="F410" s="6" t="n">
        <v>10.495489</v>
      </c>
      <c r="G410" s="6" t="n">
        <v>76.256803</v>
      </c>
      <c r="H410" s="6" t="n">
        <v>5</v>
      </c>
      <c r="I410" s="6" t="n">
        <v>120</v>
      </c>
      <c r="J410" s="6" t="s">
        <v>39</v>
      </c>
      <c r="K410" s="7" t="b">
        <f aca="false">TRUE()</f>
        <v>1</v>
      </c>
    </row>
    <row r="411" customFormat="false" ht="15" hidden="false" customHeight="false" outlineLevel="0" collapsed="false">
      <c r="A411" s="6" t="n">
        <v>313451</v>
      </c>
      <c r="B411" s="6" t="s">
        <v>668</v>
      </c>
      <c r="C411" s="6" t="s">
        <v>58</v>
      </c>
      <c r="D411" s="6" t="s">
        <v>46</v>
      </c>
      <c r="E411" s="6" t="s">
        <v>35</v>
      </c>
      <c r="F411" s="6" t="n">
        <v>10.231319</v>
      </c>
      <c r="G411" s="6" t="n">
        <v>76.197243</v>
      </c>
      <c r="H411" s="6" t="n">
        <v>2</v>
      </c>
      <c r="I411" s="6" t="n">
        <v>60</v>
      </c>
      <c r="J411" s="6" t="s">
        <v>39</v>
      </c>
      <c r="K411" s="7" t="b">
        <f aca="false">TRUE()</f>
        <v>1</v>
      </c>
    </row>
    <row r="412" customFormat="false" ht="15" hidden="false" customHeight="false" outlineLevel="0" collapsed="false">
      <c r="A412" s="6" t="n">
        <v>313450</v>
      </c>
      <c r="B412" s="6" t="s">
        <v>669</v>
      </c>
      <c r="C412" s="6" t="s">
        <v>56</v>
      </c>
      <c r="D412" s="6" t="s">
        <v>46</v>
      </c>
      <c r="E412" s="6" t="s">
        <v>35</v>
      </c>
      <c r="F412" s="6" t="n">
        <v>10.222724</v>
      </c>
      <c r="G412" s="6" t="n">
        <v>76.375698</v>
      </c>
      <c r="H412" s="6" t="n">
        <v>1</v>
      </c>
      <c r="I412" s="6" t="n">
        <v>24</v>
      </c>
      <c r="J412" s="6" t="s">
        <v>36</v>
      </c>
      <c r="K412" s="7" t="b">
        <f aca="false">FALSE()</f>
        <v>0</v>
      </c>
    </row>
    <row r="413" customFormat="false" ht="15" hidden="false" customHeight="false" outlineLevel="0" collapsed="false">
      <c r="A413" s="6" t="n">
        <v>313449</v>
      </c>
      <c r="B413" s="6" t="s">
        <v>670</v>
      </c>
      <c r="C413" s="6" t="s">
        <v>671</v>
      </c>
      <c r="D413" s="6" t="s">
        <v>46</v>
      </c>
      <c r="E413" s="6" t="s">
        <v>35</v>
      </c>
      <c r="F413" s="6" t="n">
        <v>10.137094</v>
      </c>
      <c r="G413" s="6" t="n">
        <v>76.18029</v>
      </c>
      <c r="H413" s="6" t="n">
        <v>2</v>
      </c>
      <c r="I413" s="6" t="n">
        <v>22</v>
      </c>
      <c r="J413" s="6" t="s">
        <v>36</v>
      </c>
      <c r="K413" s="7" t="b">
        <f aca="false">FALSE()</f>
        <v>0</v>
      </c>
    </row>
    <row r="414" customFormat="false" ht="15" hidden="false" customHeight="false" outlineLevel="0" collapsed="false">
      <c r="A414" s="6" t="n">
        <v>313447</v>
      </c>
      <c r="B414" s="6" t="s">
        <v>672</v>
      </c>
      <c r="C414" s="6" t="s">
        <v>673</v>
      </c>
      <c r="D414" s="6" t="s">
        <v>46</v>
      </c>
      <c r="E414" s="6" t="s">
        <v>35</v>
      </c>
      <c r="F414" s="6" t="n">
        <v>10.02416</v>
      </c>
      <c r="G414" s="6" t="n">
        <v>76.308712</v>
      </c>
      <c r="H414" s="6" t="n">
        <v>3</v>
      </c>
      <c r="I414" s="6" t="n">
        <v>60</v>
      </c>
      <c r="J414" s="6" t="s">
        <v>39</v>
      </c>
      <c r="K414" s="7" t="b">
        <f aca="false">TRUE()</f>
        <v>1</v>
      </c>
    </row>
    <row r="415" customFormat="false" ht="15" hidden="false" customHeight="false" outlineLevel="0" collapsed="false">
      <c r="A415" s="6" t="n">
        <v>313446</v>
      </c>
      <c r="B415" s="6" t="s">
        <v>674</v>
      </c>
      <c r="C415" s="6" t="s">
        <v>673</v>
      </c>
      <c r="D415" s="6" t="s">
        <v>46</v>
      </c>
      <c r="E415" s="6" t="s">
        <v>35</v>
      </c>
      <c r="F415" s="6" t="n">
        <v>10.011145</v>
      </c>
      <c r="G415" s="6" t="n">
        <v>76.312497</v>
      </c>
      <c r="H415" s="6" t="n">
        <v>1</v>
      </c>
      <c r="I415" s="6" t="n">
        <v>50</v>
      </c>
      <c r="J415" s="6" t="s">
        <v>39</v>
      </c>
      <c r="K415" s="7" t="b">
        <f aca="false">TRUE()</f>
        <v>1</v>
      </c>
    </row>
    <row r="416" customFormat="false" ht="15" hidden="false" customHeight="false" outlineLevel="0" collapsed="false">
      <c r="A416" s="6" t="n">
        <v>313445</v>
      </c>
      <c r="B416" s="6" t="s">
        <v>675</v>
      </c>
      <c r="C416" s="6" t="s">
        <v>676</v>
      </c>
      <c r="D416" s="6" t="s">
        <v>46</v>
      </c>
      <c r="E416" s="6" t="s">
        <v>35</v>
      </c>
      <c r="F416" s="6" t="n">
        <v>9.968305</v>
      </c>
      <c r="G416" s="6" t="n">
        <v>76.245709</v>
      </c>
      <c r="H416" s="6" t="n">
        <v>1</v>
      </c>
      <c r="I416" s="6" t="n">
        <v>24</v>
      </c>
      <c r="J416" s="6" t="s">
        <v>36</v>
      </c>
      <c r="K416" s="7" t="b">
        <f aca="false">FALSE()</f>
        <v>0</v>
      </c>
    </row>
    <row r="417" customFormat="false" ht="15" hidden="false" customHeight="false" outlineLevel="0" collapsed="false">
      <c r="A417" s="6" t="n">
        <v>313444</v>
      </c>
      <c r="B417" s="6" t="s">
        <v>677</v>
      </c>
      <c r="C417" s="6" t="s">
        <v>482</v>
      </c>
      <c r="D417" s="6" t="s">
        <v>46</v>
      </c>
      <c r="E417" s="6" t="s">
        <v>35</v>
      </c>
      <c r="F417" s="6" t="n">
        <v>9.961431</v>
      </c>
      <c r="G417" s="6" t="n">
        <v>76.269491</v>
      </c>
      <c r="H417" s="6" t="n">
        <v>1</v>
      </c>
      <c r="I417" s="6" t="n">
        <v>22</v>
      </c>
      <c r="J417" s="6" t="s">
        <v>36</v>
      </c>
      <c r="K417" s="7" t="b">
        <f aca="false">FALSE()</f>
        <v>0</v>
      </c>
    </row>
    <row r="418" customFormat="false" ht="15" hidden="false" customHeight="false" outlineLevel="0" collapsed="false">
      <c r="A418" s="6" t="n">
        <v>313443</v>
      </c>
      <c r="B418" s="6" t="s">
        <v>678</v>
      </c>
      <c r="C418" s="6" t="s">
        <v>516</v>
      </c>
      <c r="D418" s="6" t="s">
        <v>46</v>
      </c>
      <c r="E418" s="6" t="s">
        <v>35</v>
      </c>
      <c r="F418" s="6" t="n">
        <v>9.981771</v>
      </c>
      <c r="G418" s="6" t="n">
        <v>76.578304</v>
      </c>
      <c r="H418" s="6" t="n">
        <v>2</v>
      </c>
      <c r="I418" s="6" t="n">
        <v>60</v>
      </c>
      <c r="J418" s="6" t="s">
        <v>39</v>
      </c>
      <c r="K418" s="7" t="b">
        <f aca="false">TRUE()</f>
        <v>1</v>
      </c>
    </row>
    <row r="419" customFormat="false" ht="15" hidden="false" customHeight="false" outlineLevel="0" collapsed="false">
      <c r="A419" s="6" t="n">
        <v>313442</v>
      </c>
      <c r="B419" s="6" t="s">
        <v>679</v>
      </c>
      <c r="C419" s="6" t="s">
        <v>340</v>
      </c>
      <c r="D419" s="6" t="s">
        <v>46</v>
      </c>
      <c r="E419" s="6" t="s">
        <v>35</v>
      </c>
      <c r="F419" s="6" t="n">
        <v>10.025676</v>
      </c>
      <c r="G419" s="6" t="n">
        <v>77.053771</v>
      </c>
      <c r="H419" s="6" t="n">
        <v>1</v>
      </c>
      <c r="I419" s="6" t="n">
        <v>22</v>
      </c>
      <c r="J419" s="6" t="s">
        <v>36</v>
      </c>
      <c r="K419" s="7" t="b">
        <f aca="false">FALSE()</f>
        <v>0</v>
      </c>
    </row>
    <row r="420" customFormat="false" ht="15" hidden="false" customHeight="false" outlineLevel="0" collapsed="false">
      <c r="A420" s="6" t="n">
        <v>313441</v>
      </c>
      <c r="B420" s="6" t="s">
        <v>680</v>
      </c>
      <c r="C420" s="6" t="s">
        <v>681</v>
      </c>
      <c r="D420" s="6" t="s">
        <v>46</v>
      </c>
      <c r="E420" s="6" t="s">
        <v>35</v>
      </c>
      <c r="F420" s="6" t="n">
        <v>9.859751</v>
      </c>
      <c r="G420" s="6" t="n">
        <v>76.335824</v>
      </c>
      <c r="H420" s="6" t="n">
        <v>2</v>
      </c>
      <c r="I420" s="6" t="n">
        <v>22</v>
      </c>
      <c r="J420" s="6" t="s">
        <v>36</v>
      </c>
      <c r="K420" s="7" t="b">
        <f aca="false">FALSE()</f>
        <v>0</v>
      </c>
    </row>
    <row r="421" customFormat="false" ht="15" hidden="false" customHeight="false" outlineLevel="0" collapsed="false">
      <c r="A421" s="6" t="n">
        <v>313440</v>
      </c>
      <c r="B421" s="6" t="s">
        <v>682</v>
      </c>
      <c r="C421" s="6" t="s">
        <v>683</v>
      </c>
      <c r="D421" s="6" t="s">
        <v>46</v>
      </c>
      <c r="E421" s="6" t="s">
        <v>35</v>
      </c>
      <c r="F421" s="6" t="n">
        <v>9.596034</v>
      </c>
      <c r="G421" s="6" t="n">
        <v>76.30277</v>
      </c>
      <c r="H421" s="6" t="n">
        <v>1</v>
      </c>
      <c r="I421" s="6" t="n">
        <v>22</v>
      </c>
      <c r="J421" s="6" t="s">
        <v>36</v>
      </c>
      <c r="K421" s="7" t="b">
        <f aca="false">FALSE()</f>
        <v>0</v>
      </c>
    </row>
    <row r="422" customFormat="false" ht="15" hidden="false" customHeight="false" outlineLevel="0" collapsed="false">
      <c r="A422" s="6" t="n">
        <v>313439</v>
      </c>
      <c r="B422" s="6" t="s">
        <v>684</v>
      </c>
      <c r="C422" s="6" t="s">
        <v>207</v>
      </c>
      <c r="D422" s="6" t="s">
        <v>46</v>
      </c>
      <c r="E422" s="6" t="s">
        <v>35</v>
      </c>
      <c r="F422" s="6" t="n">
        <v>9.518714</v>
      </c>
      <c r="G422" s="6" t="n">
        <v>76.327485</v>
      </c>
      <c r="H422" s="6" t="n">
        <v>2</v>
      </c>
      <c r="I422" s="6" t="n">
        <v>60</v>
      </c>
      <c r="J422" s="6" t="s">
        <v>39</v>
      </c>
      <c r="K422" s="7" t="b">
        <f aca="false">TRUE()</f>
        <v>1</v>
      </c>
    </row>
    <row r="423" customFormat="false" ht="15" hidden="false" customHeight="false" outlineLevel="0" collapsed="false">
      <c r="A423" s="6" t="n">
        <v>313438</v>
      </c>
      <c r="B423" s="6" t="s">
        <v>685</v>
      </c>
      <c r="C423" s="6" t="s">
        <v>204</v>
      </c>
      <c r="D423" s="6" t="s">
        <v>46</v>
      </c>
      <c r="E423" s="6" t="s">
        <v>35</v>
      </c>
      <c r="F423" s="6" t="n">
        <v>9.58288</v>
      </c>
      <c r="G423" s="6" t="n">
        <v>76.521686</v>
      </c>
      <c r="H423" s="6" t="n">
        <v>1</v>
      </c>
      <c r="I423" s="6" t="n">
        <v>50</v>
      </c>
      <c r="J423" s="6" t="s">
        <v>39</v>
      </c>
      <c r="K423" s="7" t="b">
        <f aca="false">TRUE()</f>
        <v>1</v>
      </c>
    </row>
    <row r="424" customFormat="false" ht="15" hidden="false" customHeight="false" outlineLevel="0" collapsed="false">
      <c r="A424" s="6" t="n">
        <v>313437</v>
      </c>
      <c r="B424" s="6" t="s">
        <v>686</v>
      </c>
      <c r="C424" s="6" t="s">
        <v>204</v>
      </c>
      <c r="D424" s="6" t="s">
        <v>46</v>
      </c>
      <c r="E424" s="6" t="s">
        <v>35</v>
      </c>
      <c r="F424" s="6" t="n">
        <v>9.571548</v>
      </c>
      <c r="G424" s="6" t="n">
        <v>76.519369</v>
      </c>
      <c r="H424" s="6" t="n">
        <v>1</v>
      </c>
      <c r="I424" s="6" t="n">
        <v>24</v>
      </c>
      <c r="J424" s="6" t="s">
        <v>36</v>
      </c>
      <c r="K424" s="7" t="b">
        <f aca="false">FALSE()</f>
        <v>0</v>
      </c>
    </row>
    <row r="425" customFormat="false" ht="15" hidden="false" customHeight="false" outlineLevel="0" collapsed="false">
      <c r="A425" s="6" t="n">
        <v>313436</v>
      </c>
      <c r="B425" s="6" t="s">
        <v>687</v>
      </c>
      <c r="C425" s="6" t="s">
        <v>184</v>
      </c>
      <c r="D425" s="6" t="s">
        <v>46</v>
      </c>
      <c r="E425" s="6" t="s">
        <v>35</v>
      </c>
      <c r="F425" s="6" t="n">
        <v>9.603437</v>
      </c>
      <c r="G425" s="6" t="n">
        <v>77.171548</v>
      </c>
      <c r="H425" s="6" t="n">
        <v>2</v>
      </c>
      <c r="I425" s="6" t="n">
        <v>22</v>
      </c>
      <c r="J425" s="6" t="s">
        <v>36</v>
      </c>
      <c r="K425" s="7" t="b">
        <f aca="false">FALSE()</f>
        <v>0</v>
      </c>
    </row>
    <row r="426" customFormat="false" ht="15" hidden="false" customHeight="false" outlineLevel="0" collapsed="false">
      <c r="A426" s="6" t="n">
        <v>313435</v>
      </c>
      <c r="B426" s="6" t="s">
        <v>688</v>
      </c>
      <c r="C426" s="6" t="s">
        <v>689</v>
      </c>
      <c r="D426" s="6" t="s">
        <v>46</v>
      </c>
      <c r="E426" s="6" t="s">
        <v>35</v>
      </c>
      <c r="F426" s="6" t="n">
        <v>9.544093</v>
      </c>
      <c r="G426" s="6" t="n">
        <v>76.877335</v>
      </c>
      <c r="H426" s="6" t="n">
        <v>1</v>
      </c>
      <c r="I426" s="6" t="n">
        <v>24</v>
      </c>
      <c r="J426" s="6" t="s">
        <v>36</v>
      </c>
      <c r="K426" s="7" t="b">
        <f aca="false">FALSE()</f>
        <v>0</v>
      </c>
    </row>
    <row r="427" customFormat="false" ht="15" hidden="false" customHeight="false" outlineLevel="0" collapsed="false">
      <c r="A427" s="6" t="n">
        <v>313434</v>
      </c>
      <c r="B427" s="6" t="s">
        <v>690</v>
      </c>
      <c r="C427" s="6" t="s">
        <v>176</v>
      </c>
      <c r="D427" s="6" t="s">
        <v>46</v>
      </c>
      <c r="E427" s="6" t="s">
        <v>35</v>
      </c>
      <c r="F427" s="6" t="n">
        <v>9.455165</v>
      </c>
      <c r="G427" s="6" t="n">
        <v>76.542424</v>
      </c>
      <c r="H427" s="6" t="n">
        <v>1</v>
      </c>
      <c r="I427" s="6" t="n">
        <v>24</v>
      </c>
      <c r="J427" s="6" t="s">
        <v>36</v>
      </c>
      <c r="K427" s="7" t="b">
        <f aca="false">FALSE()</f>
        <v>0</v>
      </c>
    </row>
    <row r="428" customFormat="false" ht="15" hidden="false" customHeight="false" outlineLevel="0" collapsed="false">
      <c r="A428" s="6" t="n">
        <v>313433</v>
      </c>
      <c r="B428" s="6" t="s">
        <v>691</v>
      </c>
      <c r="C428" s="6" t="s">
        <v>579</v>
      </c>
      <c r="D428" s="6" t="s">
        <v>46</v>
      </c>
      <c r="E428" s="6" t="s">
        <v>35</v>
      </c>
      <c r="F428" s="6" t="n">
        <v>9.283238</v>
      </c>
      <c r="G428" s="6" t="n">
        <v>76.53084</v>
      </c>
      <c r="H428" s="6" t="n">
        <v>2</v>
      </c>
      <c r="I428" s="6" t="n">
        <v>60</v>
      </c>
      <c r="J428" s="6" t="s">
        <v>39</v>
      </c>
      <c r="K428" s="7" t="b">
        <f aca="false">TRUE()</f>
        <v>1</v>
      </c>
    </row>
    <row r="429" customFormat="false" ht="15" hidden="false" customHeight="false" outlineLevel="0" collapsed="false">
      <c r="A429" s="6" t="n">
        <v>313432</v>
      </c>
      <c r="B429" s="6" t="s">
        <v>692</v>
      </c>
      <c r="C429" s="6" t="s">
        <v>171</v>
      </c>
      <c r="D429" s="6" t="s">
        <v>46</v>
      </c>
      <c r="E429" s="6" t="s">
        <v>35</v>
      </c>
      <c r="F429" s="6" t="n">
        <v>9.316719</v>
      </c>
      <c r="G429" s="6" t="n">
        <v>76.800971</v>
      </c>
      <c r="H429" s="6" t="n">
        <v>3</v>
      </c>
      <c r="I429" s="6" t="n">
        <v>24</v>
      </c>
      <c r="J429" s="6" t="s">
        <v>36</v>
      </c>
      <c r="K429" s="7" t="b">
        <f aca="false">FALSE()</f>
        <v>0</v>
      </c>
    </row>
    <row r="430" customFormat="false" ht="15" hidden="false" customHeight="false" outlineLevel="0" collapsed="false">
      <c r="A430" s="6" t="n">
        <v>313431</v>
      </c>
      <c r="B430" s="6" t="s">
        <v>693</v>
      </c>
      <c r="C430" s="6" t="s">
        <v>158</v>
      </c>
      <c r="D430" s="6" t="s">
        <v>46</v>
      </c>
      <c r="E430" s="6" t="s">
        <v>35</v>
      </c>
      <c r="F430" s="6" t="n">
        <v>9.161948</v>
      </c>
      <c r="G430" s="6" t="n">
        <v>76.721496</v>
      </c>
      <c r="H430" s="6" t="n">
        <v>1</v>
      </c>
      <c r="I430" s="6" t="n">
        <v>24</v>
      </c>
      <c r="J430" s="6" t="s">
        <v>36</v>
      </c>
      <c r="K430" s="7" t="b">
        <f aca="false">FALSE()</f>
        <v>0</v>
      </c>
    </row>
    <row r="431" customFormat="false" ht="15" hidden="false" customHeight="false" outlineLevel="0" collapsed="false">
      <c r="A431" s="6" t="n">
        <v>313430</v>
      </c>
      <c r="B431" s="6" t="s">
        <v>694</v>
      </c>
      <c r="C431" s="6" t="s">
        <v>597</v>
      </c>
      <c r="D431" s="6" t="s">
        <v>46</v>
      </c>
      <c r="E431" s="6" t="s">
        <v>35</v>
      </c>
      <c r="F431" s="6" t="n">
        <v>8.898682</v>
      </c>
      <c r="G431" s="6" t="n">
        <v>76.742138</v>
      </c>
      <c r="H431" s="6" t="n">
        <v>4</v>
      </c>
      <c r="I431" s="6" t="n">
        <v>30</v>
      </c>
      <c r="J431" s="6" t="s">
        <v>36</v>
      </c>
      <c r="K431" s="7" t="b">
        <f aca="false">FALSE()</f>
        <v>0</v>
      </c>
    </row>
    <row r="432" customFormat="false" ht="15" hidden="false" customHeight="false" outlineLevel="0" collapsed="false">
      <c r="A432" s="6" t="n">
        <v>313420</v>
      </c>
      <c r="B432" s="6" t="s">
        <v>695</v>
      </c>
      <c r="C432" s="6" t="s">
        <v>605</v>
      </c>
      <c r="D432" s="6" t="s">
        <v>46</v>
      </c>
      <c r="E432" s="6" t="s">
        <v>35</v>
      </c>
      <c r="F432" s="6" t="n">
        <v>8.864731</v>
      </c>
      <c r="G432" s="6" t="n">
        <v>76.660483</v>
      </c>
      <c r="H432" s="6" t="n">
        <v>2</v>
      </c>
      <c r="I432" s="6" t="n">
        <v>30</v>
      </c>
      <c r="J432" s="6" t="s">
        <v>36</v>
      </c>
      <c r="K432" s="7" t="b">
        <f aca="false">FALSE()</f>
        <v>0</v>
      </c>
    </row>
    <row r="433" customFormat="false" ht="15" hidden="false" customHeight="false" outlineLevel="0" collapsed="false">
      <c r="A433" s="6" t="n">
        <v>313419</v>
      </c>
      <c r="B433" s="6" t="s">
        <v>696</v>
      </c>
      <c r="C433" s="6" t="s">
        <v>697</v>
      </c>
      <c r="D433" s="6" t="s">
        <v>46</v>
      </c>
      <c r="E433" s="6" t="s">
        <v>35</v>
      </c>
      <c r="F433" s="6" t="n">
        <v>8.930368</v>
      </c>
      <c r="G433" s="6" t="n">
        <v>76.85382</v>
      </c>
      <c r="H433" s="6" t="n">
        <v>1</v>
      </c>
      <c r="I433" s="6" t="n">
        <v>30</v>
      </c>
      <c r="J433" s="6" t="s">
        <v>36</v>
      </c>
      <c r="K433" s="7" t="b">
        <f aca="false">FALSE()</f>
        <v>0</v>
      </c>
    </row>
    <row r="434" customFormat="false" ht="15" hidden="false" customHeight="false" outlineLevel="0" collapsed="false">
      <c r="A434" s="6" t="n">
        <v>313418</v>
      </c>
      <c r="B434" s="6" t="s">
        <v>698</v>
      </c>
      <c r="C434" s="6" t="s">
        <v>699</v>
      </c>
      <c r="D434" s="6" t="s">
        <v>46</v>
      </c>
      <c r="E434" s="6" t="s">
        <v>35</v>
      </c>
      <c r="F434" s="6" t="n">
        <v>8.812579</v>
      </c>
      <c r="G434" s="6" t="n">
        <v>76.756752</v>
      </c>
      <c r="H434" s="6" t="n">
        <v>2</v>
      </c>
      <c r="I434" s="6" t="n">
        <v>60</v>
      </c>
      <c r="J434" s="6" t="s">
        <v>39</v>
      </c>
      <c r="K434" s="7" t="b">
        <f aca="false">TRUE()</f>
        <v>1</v>
      </c>
    </row>
    <row r="435" customFormat="false" ht="15" hidden="false" customHeight="false" outlineLevel="0" collapsed="false">
      <c r="A435" s="6" t="n">
        <v>313417</v>
      </c>
      <c r="B435" s="6" t="s">
        <v>700</v>
      </c>
      <c r="C435" s="6" t="s">
        <v>701</v>
      </c>
      <c r="D435" s="6" t="s">
        <v>46</v>
      </c>
      <c r="E435" s="6" t="s">
        <v>35</v>
      </c>
      <c r="F435" s="6" t="n">
        <v>8.79202</v>
      </c>
      <c r="G435" s="6" t="n">
        <v>76.770632</v>
      </c>
      <c r="H435" s="6" t="n">
        <v>1</v>
      </c>
      <c r="I435" s="6" t="n">
        <v>30</v>
      </c>
      <c r="J435" s="6" t="s">
        <v>36</v>
      </c>
      <c r="K435" s="7" t="b">
        <f aca="false">FALSE()</f>
        <v>0</v>
      </c>
    </row>
    <row r="436" customFormat="false" ht="15" hidden="false" customHeight="false" outlineLevel="0" collapsed="false">
      <c r="A436" s="6" t="n">
        <v>313416</v>
      </c>
      <c r="B436" s="6" t="s">
        <v>702</v>
      </c>
      <c r="C436" s="6" t="s">
        <v>703</v>
      </c>
      <c r="D436" s="6" t="s">
        <v>46</v>
      </c>
      <c r="E436" s="6" t="s">
        <v>35</v>
      </c>
      <c r="F436" s="6" t="n">
        <v>8.785763</v>
      </c>
      <c r="G436" s="6" t="n">
        <v>76.8837</v>
      </c>
      <c r="H436" s="6" t="n">
        <v>1</v>
      </c>
      <c r="I436" s="6" t="n">
        <v>30</v>
      </c>
      <c r="J436" s="6" t="s">
        <v>36</v>
      </c>
      <c r="K436" s="7" t="b">
        <f aca="false">FALSE()</f>
        <v>0</v>
      </c>
    </row>
    <row r="437" customFormat="false" ht="15" hidden="false" customHeight="false" outlineLevel="0" collapsed="false">
      <c r="A437" s="6" t="n">
        <v>313406</v>
      </c>
      <c r="B437" s="6" t="s">
        <v>704</v>
      </c>
      <c r="C437" s="6" t="s">
        <v>141</v>
      </c>
      <c r="D437" s="6" t="s">
        <v>46</v>
      </c>
      <c r="E437" s="6" t="s">
        <v>35</v>
      </c>
      <c r="F437" s="6" t="n">
        <v>8.687608</v>
      </c>
      <c r="G437" s="6" t="n">
        <v>76.829924</v>
      </c>
      <c r="H437" s="6" t="n">
        <v>1</v>
      </c>
      <c r="I437" s="6" t="n">
        <v>24</v>
      </c>
      <c r="J437" s="6" t="s">
        <v>36</v>
      </c>
      <c r="K437" s="7" t="b">
        <f aca="false">FALSE()</f>
        <v>0</v>
      </c>
    </row>
    <row r="438" customFormat="false" ht="15" hidden="false" customHeight="false" outlineLevel="0" collapsed="false">
      <c r="A438" s="6" t="n">
        <v>313405</v>
      </c>
      <c r="B438" s="6" t="s">
        <v>705</v>
      </c>
      <c r="C438" s="6" t="s">
        <v>131</v>
      </c>
      <c r="D438" s="6" t="s">
        <v>46</v>
      </c>
      <c r="E438" s="6" t="s">
        <v>35</v>
      </c>
      <c r="F438" s="6" t="n">
        <v>8.6715</v>
      </c>
      <c r="G438" s="6" t="n">
        <v>76.834998</v>
      </c>
      <c r="H438" s="6" t="n">
        <v>3</v>
      </c>
      <c r="I438" s="6" t="n">
        <v>60</v>
      </c>
      <c r="J438" s="6" t="s">
        <v>39</v>
      </c>
      <c r="K438" s="7" t="b">
        <f aca="false">TRUE()</f>
        <v>1</v>
      </c>
    </row>
    <row r="439" customFormat="false" ht="15" hidden="false" customHeight="false" outlineLevel="0" collapsed="false">
      <c r="A439" s="6" t="n">
        <v>313404</v>
      </c>
      <c r="B439" s="6" t="s">
        <v>706</v>
      </c>
      <c r="C439" s="6" t="s">
        <v>131</v>
      </c>
      <c r="D439" s="6" t="s">
        <v>46</v>
      </c>
      <c r="E439" s="6" t="s">
        <v>35</v>
      </c>
      <c r="F439" s="6" t="n">
        <v>8.651755</v>
      </c>
      <c r="G439" s="6" t="n">
        <v>76.92798</v>
      </c>
      <c r="H439" s="6" t="n">
        <v>2</v>
      </c>
      <c r="I439" s="6" t="n">
        <v>60</v>
      </c>
      <c r="J439" s="6" t="s">
        <v>39</v>
      </c>
      <c r="K439" s="7" t="b">
        <f aca="false">TRUE()</f>
        <v>1</v>
      </c>
    </row>
    <row r="440" customFormat="false" ht="15" hidden="false" customHeight="false" outlineLevel="0" collapsed="false">
      <c r="A440" s="6" t="n">
        <v>313403</v>
      </c>
      <c r="B440" s="6" t="s">
        <v>707</v>
      </c>
      <c r="C440" s="6" t="s">
        <v>131</v>
      </c>
      <c r="D440" s="6" t="s">
        <v>46</v>
      </c>
      <c r="E440" s="6" t="s">
        <v>35</v>
      </c>
      <c r="F440" s="6" t="n">
        <v>8.330757</v>
      </c>
      <c r="G440" s="6" t="n">
        <v>77.142376</v>
      </c>
      <c r="H440" s="6" t="n">
        <v>2</v>
      </c>
      <c r="I440" s="6" t="n">
        <v>30</v>
      </c>
      <c r="J440" s="6" t="s">
        <v>36</v>
      </c>
      <c r="K440" s="7" t="b">
        <f aca="false">FALSE()</f>
        <v>0</v>
      </c>
    </row>
    <row r="441" customFormat="false" ht="15" hidden="false" customHeight="false" outlineLevel="0" collapsed="false">
      <c r="A441" s="6" t="n">
        <v>313402</v>
      </c>
      <c r="B441" s="6" t="s">
        <v>708</v>
      </c>
      <c r="C441" s="6" t="s">
        <v>131</v>
      </c>
      <c r="D441" s="6" t="s">
        <v>46</v>
      </c>
      <c r="E441" s="6" t="s">
        <v>35</v>
      </c>
      <c r="F441" s="6" t="n">
        <v>8.306584</v>
      </c>
      <c r="G441" s="6" t="n">
        <v>77.086086</v>
      </c>
      <c r="H441" s="6" t="n">
        <v>2</v>
      </c>
      <c r="I441" s="6" t="n">
        <v>22</v>
      </c>
      <c r="J441" s="6" t="s">
        <v>36</v>
      </c>
      <c r="K441" s="7" t="b">
        <f aca="false">FALSE()</f>
        <v>0</v>
      </c>
    </row>
    <row r="442" customFormat="false" ht="15" hidden="false" customHeight="false" outlineLevel="0" collapsed="false">
      <c r="A442" s="6" t="n">
        <v>313401</v>
      </c>
      <c r="B442" s="6" t="s">
        <v>709</v>
      </c>
      <c r="C442" s="6" t="s">
        <v>131</v>
      </c>
      <c r="D442" s="6" t="s">
        <v>46</v>
      </c>
      <c r="E442" s="6" t="s">
        <v>35</v>
      </c>
      <c r="F442" s="6" t="n">
        <v>8.466545</v>
      </c>
      <c r="G442" s="6" t="n">
        <v>76.960808</v>
      </c>
      <c r="H442" s="6" t="n">
        <v>2</v>
      </c>
      <c r="I442" s="6" t="n">
        <v>30</v>
      </c>
      <c r="J442" s="6" t="s">
        <v>36</v>
      </c>
      <c r="K442" s="7" t="b">
        <f aca="false">FALSE()</f>
        <v>0</v>
      </c>
    </row>
    <row r="443" customFormat="false" ht="15" hidden="false" customHeight="false" outlineLevel="0" collapsed="false">
      <c r="A443" s="6" t="n">
        <v>313400</v>
      </c>
      <c r="B443" s="6" t="s">
        <v>710</v>
      </c>
      <c r="C443" s="6" t="s">
        <v>131</v>
      </c>
      <c r="D443" s="6" t="s">
        <v>46</v>
      </c>
      <c r="E443" s="6" t="s">
        <v>35</v>
      </c>
      <c r="F443" s="6" t="n">
        <v>8.544983</v>
      </c>
      <c r="G443" s="6" t="n">
        <v>76.972298</v>
      </c>
      <c r="H443" s="6" t="n">
        <v>1</v>
      </c>
      <c r="I443" s="6" t="n">
        <v>60</v>
      </c>
      <c r="J443" s="6" t="s">
        <v>39</v>
      </c>
      <c r="K443" s="7" t="b">
        <f aca="false">TRUE()</f>
        <v>1</v>
      </c>
    </row>
    <row r="444" customFormat="false" ht="15" hidden="false" customHeight="false" outlineLevel="0" collapsed="false">
      <c r="A444" s="6" t="n">
        <v>313399</v>
      </c>
      <c r="B444" s="6" t="s">
        <v>711</v>
      </c>
      <c r="C444" s="6" t="s">
        <v>131</v>
      </c>
      <c r="D444" s="6" t="s">
        <v>46</v>
      </c>
      <c r="E444" s="6" t="s">
        <v>35</v>
      </c>
      <c r="F444" s="6" t="n">
        <v>8.503668</v>
      </c>
      <c r="G444" s="6" t="n">
        <v>76.953916</v>
      </c>
      <c r="H444" s="6" t="n">
        <v>1</v>
      </c>
      <c r="I444" s="6" t="n">
        <v>30</v>
      </c>
      <c r="J444" s="6" t="s">
        <v>36</v>
      </c>
      <c r="K444" s="7" t="b">
        <f aca="false">FALSE()</f>
        <v>0</v>
      </c>
    </row>
    <row r="445" customFormat="false" ht="15" hidden="false" customHeight="false" outlineLevel="0" collapsed="false">
      <c r="A445" s="6" t="n">
        <v>313398</v>
      </c>
      <c r="B445" s="6" t="s">
        <v>712</v>
      </c>
      <c r="C445" s="6" t="s">
        <v>131</v>
      </c>
      <c r="D445" s="6" t="s">
        <v>46</v>
      </c>
      <c r="E445" s="6" t="s">
        <v>35</v>
      </c>
      <c r="F445" s="6" t="n">
        <v>8.499635</v>
      </c>
      <c r="G445" s="6" t="n">
        <v>76.950299</v>
      </c>
      <c r="H445" s="6" t="n">
        <v>2</v>
      </c>
      <c r="I445" s="6" t="n">
        <v>60</v>
      </c>
      <c r="J445" s="6" t="s">
        <v>39</v>
      </c>
      <c r="K445" s="7" t="b">
        <f aca="false">TRUE()</f>
        <v>1</v>
      </c>
    </row>
    <row r="446" customFormat="false" ht="15" hidden="false" customHeight="false" outlineLevel="0" collapsed="false">
      <c r="A446" s="6" t="n">
        <v>313397</v>
      </c>
      <c r="B446" s="6" t="s">
        <v>713</v>
      </c>
      <c r="C446" s="6" t="s">
        <v>131</v>
      </c>
      <c r="D446" s="6" t="s">
        <v>46</v>
      </c>
      <c r="E446" s="6" t="s">
        <v>35</v>
      </c>
      <c r="F446" s="6" t="n">
        <v>8.465872</v>
      </c>
      <c r="G446" s="6" t="n">
        <v>76.939098</v>
      </c>
      <c r="H446" s="6" t="n">
        <v>1</v>
      </c>
      <c r="I446" s="6" t="n">
        <v>60</v>
      </c>
      <c r="J446" s="6" t="s">
        <v>39</v>
      </c>
      <c r="K446" s="7" t="b">
        <f aca="false">TRUE()</f>
        <v>1</v>
      </c>
    </row>
    <row r="447" customFormat="false" ht="15" hidden="false" customHeight="false" outlineLevel="0" collapsed="false">
      <c r="A447" s="6" t="n">
        <v>313396</v>
      </c>
      <c r="B447" s="6" t="s">
        <v>714</v>
      </c>
      <c r="C447" s="6" t="s">
        <v>131</v>
      </c>
      <c r="D447" s="6" t="s">
        <v>46</v>
      </c>
      <c r="E447" s="6" t="s">
        <v>35</v>
      </c>
      <c r="F447" s="6" t="n">
        <v>8.476058</v>
      </c>
      <c r="G447" s="6" t="n">
        <v>76.91831</v>
      </c>
      <c r="H447" s="6" t="n">
        <v>2</v>
      </c>
      <c r="I447" s="6" t="n">
        <v>30</v>
      </c>
      <c r="J447" s="6" t="s">
        <v>36</v>
      </c>
      <c r="K447" s="7" t="b">
        <f aca="false">FALSE()</f>
        <v>0</v>
      </c>
    </row>
    <row r="448" customFormat="false" ht="15" hidden="false" customHeight="false" outlineLevel="0" collapsed="false">
      <c r="A448" s="6" t="n">
        <v>313395</v>
      </c>
      <c r="B448" s="6" t="s">
        <v>715</v>
      </c>
      <c r="C448" s="6" t="s">
        <v>131</v>
      </c>
      <c r="D448" s="6" t="s">
        <v>46</v>
      </c>
      <c r="E448" s="6" t="s">
        <v>35</v>
      </c>
      <c r="F448" s="6" t="n">
        <v>8.488387</v>
      </c>
      <c r="G448" s="6" t="n">
        <v>76.922451</v>
      </c>
      <c r="H448" s="6" t="n">
        <v>2</v>
      </c>
      <c r="I448" s="6" t="n">
        <v>30</v>
      </c>
      <c r="J448" s="6" t="s">
        <v>36</v>
      </c>
      <c r="K448" s="7" t="b">
        <f aca="false">FALSE()</f>
        <v>0</v>
      </c>
    </row>
    <row r="449" customFormat="false" ht="15" hidden="false" customHeight="false" outlineLevel="0" collapsed="false">
      <c r="A449" s="6" t="n">
        <v>313394</v>
      </c>
      <c r="B449" s="6" t="s">
        <v>716</v>
      </c>
      <c r="C449" s="6" t="s">
        <v>131</v>
      </c>
      <c r="D449" s="6" t="s">
        <v>46</v>
      </c>
      <c r="E449" s="6" t="s">
        <v>35</v>
      </c>
      <c r="F449" s="6" t="n">
        <v>8.57509</v>
      </c>
      <c r="G449" s="6" t="n">
        <v>76.868417</v>
      </c>
      <c r="H449" s="6" t="n">
        <v>1</v>
      </c>
      <c r="I449" s="6" t="n">
        <v>30</v>
      </c>
      <c r="J449" s="6" t="s">
        <v>36</v>
      </c>
      <c r="K449" s="7" t="b">
        <f aca="false">FALSE()</f>
        <v>0</v>
      </c>
    </row>
    <row r="450" customFormat="false" ht="15" hidden="false" customHeight="false" outlineLevel="0" collapsed="false">
      <c r="A450" s="6" t="n">
        <v>313393</v>
      </c>
      <c r="B450" s="6" t="s">
        <v>470</v>
      </c>
      <c r="C450" s="6" t="s">
        <v>131</v>
      </c>
      <c r="D450" s="6" t="s">
        <v>46</v>
      </c>
      <c r="E450" s="6" t="s">
        <v>35</v>
      </c>
      <c r="F450" s="6" t="n">
        <v>8.550684</v>
      </c>
      <c r="G450" s="6" t="n">
        <v>76.878488</v>
      </c>
      <c r="H450" s="6" t="n">
        <v>3</v>
      </c>
      <c r="I450" s="6" t="n">
        <v>60</v>
      </c>
      <c r="J450" s="6" t="s">
        <v>39</v>
      </c>
      <c r="K450" s="7" t="b">
        <f aca="false">TRUE()</f>
        <v>1</v>
      </c>
    </row>
    <row r="451" customFormat="false" ht="15" hidden="false" customHeight="false" outlineLevel="0" collapsed="false">
      <c r="A451" s="6" t="n">
        <v>313392</v>
      </c>
      <c r="B451" s="6" t="s">
        <v>717</v>
      </c>
      <c r="C451" s="6" t="s">
        <v>131</v>
      </c>
      <c r="D451" s="6" t="s">
        <v>46</v>
      </c>
      <c r="E451" s="6" t="s">
        <v>35</v>
      </c>
      <c r="F451" s="6" t="n">
        <v>8.542037</v>
      </c>
      <c r="G451" s="6" t="n">
        <v>76.875819</v>
      </c>
      <c r="H451" s="6" t="n">
        <v>3</v>
      </c>
      <c r="I451" s="6" t="n">
        <v>60</v>
      </c>
      <c r="J451" s="6" t="s">
        <v>39</v>
      </c>
      <c r="K451" s="7" t="b">
        <f aca="false">TRUE()</f>
        <v>1</v>
      </c>
    </row>
    <row r="452" customFormat="false" ht="15" hidden="false" customHeight="false" outlineLevel="0" collapsed="false">
      <c r="A452" s="6" t="n">
        <v>313391</v>
      </c>
      <c r="B452" s="6" t="s">
        <v>718</v>
      </c>
      <c r="C452" s="6" t="s">
        <v>131</v>
      </c>
      <c r="D452" s="6" t="s">
        <v>46</v>
      </c>
      <c r="E452" s="6" t="s">
        <v>35</v>
      </c>
      <c r="F452" s="6" t="n">
        <v>8.514471</v>
      </c>
      <c r="G452" s="6" t="n">
        <v>76.907847</v>
      </c>
      <c r="H452" s="6" t="n">
        <v>1</v>
      </c>
      <c r="I452" s="6" t="n">
        <v>30</v>
      </c>
      <c r="J452" s="6" t="s">
        <v>36</v>
      </c>
      <c r="K452" s="7" t="b">
        <f aca="false">FALSE()</f>
        <v>0</v>
      </c>
    </row>
    <row r="453" customFormat="false" ht="15" hidden="false" customHeight="false" outlineLevel="0" collapsed="false">
      <c r="A453" s="6" t="n">
        <v>313390</v>
      </c>
      <c r="B453" s="6" t="s">
        <v>719</v>
      </c>
      <c r="C453" s="6" t="s">
        <v>720</v>
      </c>
      <c r="D453" s="6" t="s">
        <v>46</v>
      </c>
      <c r="E453" s="6" t="s">
        <v>35</v>
      </c>
      <c r="F453" s="6" t="n">
        <v>8.510832</v>
      </c>
      <c r="G453" s="6" t="n">
        <v>76.90484</v>
      </c>
      <c r="H453" s="6" t="n">
        <v>2</v>
      </c>
      <c r="I453" s="6" t="n">
        <v>60</v>
      </c>
      <c r="J453" s="6" t="s">
        <v>39</v>
      </c>
      <c r="K453" s="7" t="b">
        <f aca="false">TRUE()</f>
        <v>1</v>
      </c>
    </row>
    <row r="454" customFormat="false" ht="15" hidden="false" customHeight="false" outlineLevel="0" collapsed="false">
      <c r="A454" s="6" t="n">
        <v>312635</v>
      </c>
      <c r="B454" s="6" t="s">
        <v>721</v>
      </c>
      <c r="C454" s="6" t="s">
        <v>722</v>
      </c>
      <c r="D454" s="6" t="s">
        <v>723</v>
      </c>
      <c r="E454" s="6" t="s">
        <v>35</v>
      </c>
      <c r="F454" s="6" t="n">
        <v>28.455186</v>
      </c>
      <c r="G454" s="6" t="n">
        <v>77.503585</v>
      </c>
      <c r="H454" s="6" t="n">
        <v>1</v>
      </c>
      <c r="I454" s="6" t="n">
        <v>30</v>
      </c>
      <c r="J454" s="6" t="s">
        <v>36</v>
      </c>
      <c r="K454" s="7" t="b">
        <f aca="false">FALSE()</f>
        <v>0</v>
      </c>
    </row>
    <row r="455" customFormat="false" ht="15" hidden="false" customHeight="false" outlineLevel="0" collapsed="false">
      <c r="A455" s="6" t="n">
        <v>312412</v>
      </c>
      <c r="B455" s="6" t="s">
        <v>724</v>
      </c>
      <c r="C455" s="6" t="s">
        <v>725</v>
      </c>
      <c r="D455" s="6" t="s">
        <v>726</v>
      </c>
      <c r="E455" s="6" t="s">
        <v>35</v>
      </c>
      <c r="F455" s="6" t="n">
        <v>18.632171</v>
      </c>
      <c r="G455" s="6" t="n">
        <v>78.20817</v>
      </c>
      <c r="H455" s="6" t="n">
        <v>1</v>
      </c>
      <c r="I455" s="6" t="n">
        <v>60</v>
      </c>
      <c r="J455" s="6" t="s">
        <v>39</v>
      </c>
      <c r="K455" s="7" t="b">
        <f aca="false">TRUE()</f>
        <v>1</v>
      </c>
    </row>
    <row r="456" customFormat="false" ht="15" hidden="false" customHeight="false" outlineLevel="0" collapsed="false">
      <c r="A456" s="6" t="n">
        <v>312374</v>
      </c>
      <c r="B456" s="6" t="s">
        <v>727</v>
      </c>
      <c r="C456" s="6" t="s">
        <v>728</v>
      </c>
      <c r="D456" s="6" t="s">
        <v>72</v>
      </c>
      <c r="E456" s="6" t="s">
        <v>35</v>
      </c>
      <c r="F456" s="6" t="n">
        <v>20.836968</v>
      </c>
      <c r="G456" s="6" t="n">
        <v>74.75561</v>
      </c>
      <c r="H456" s="6" t="n">
        <v>1</v>
      </c>
      <c r="I456" s="6" t="n">
        <v>60</v>
      </c>
      <c r="J456" s="6" t="s">
        <v>39</v>
      </c>
      <c r="K456" s="7" t="b">
        <f aca="false">TRUE()</f>
        <v>1</v>
      </c>
    </row>
    <row r="457" customFormat="false" ht="15" hidden="false" customHeight="false" outlineLevel="0" collapsed="false">
      <c r="A457" s="6" t="n">
        <v>312373</v>
      </c>
      <c r="B457" s="6" t="s">
        <v>729</v>
      </c>
      <c r="C457" s="6" t="s">
        <v>730</v>
      </c>
      <c r="D457" s="6" t="s">
        <v>72</v>
      </c>
      <c r="E457" s="6" t="s">
        <v>35</v>
      </c>
      <c r="F457" s="6" t="n">
        <v>19.520114</v>
      </c>
      <c r="G457" s="6" t="n">
        <v>74.202737</v>
      </c>
      <c r="H457" s="6" t="n">
        <v>1</v>
      </c>
      <c r="I457" s="6" t="n">
        <v>30</v>
      </c>
      <c r="J457" s="6" t="s">
        <v>36</v>
      </c>
      <c r="K457" s="7" t="b">
        <f aca="false">FALSE()</f>
        <v>0</v>
      </c>
    </row>
    <row r="458" customFormat="false" ht="15" hidden="false" customHeight="false" outlineLevel="0" collapsed="false">
      <c r="A458" s="6" t="n">
        <v>312061</v>
      </c>
      <c r="B458" s="6" t="s">
        <v>731</v>
      </c>
      <c r="C458" s="6" t="s">
        <v>732</v>
      </c>
      <c r="D458" s="6" t="s">
        <v>42</v>
      </c>
      <c r="E458" s="6" t="s">
        <v>35</v>
      </c>
      <c r="F458" s="6" t="n">
        <v>22.922668</v>
      </c>
      <c r="G458" s="6" t="n">
        <v>88.456284</v>
      </c>
      <c r="H458" s="6" t="n">
        <v>1</v>
      </c>
      <c r="I458" s="6" t="n">
        <v>60</v>
      </c>
      <c r="J458" s="6" t="s">
        <v>39</v>
      </c>
      <c r="K458" s="7" t="b">
        <f aca="false">TRUE()</f>
        <v>1</v>
      </c>
    </row>
    <row r="459" customFormat="false" ht="15" hidden="false" customHeight="false" outlineLevel="0" collapsed="false">
      <c r="A459" s="6" t="n">
        <v>312060</v>
      </c>
      <c r="B459" s="6" t="s">
        <v>733</v>
      </c>
      <c r="C459" s="6" t="s">
        <v>734</v>
      </c>
      <c r="D459" s="6" t="s">
        <v>42</v>
      </c>
      <c r="E459" s="6" t="s">
        <v>35</v>
      </c>
      <c r="F459" s="6" t="n">
        <v>22.839467</v>
      </c>
      <c r="G459" s="6" t="n">
        <v>88.385864</v>
      </c>
      <c r="H459" s="6" t="n">
        <v>1</v>
      </c>
      <c r="I459" s="6" t="n">
        <v>30</v>
      </c>
      <c r="J459" s="6" t="s">
        <v>36</v>
      </c>
      <c r="K459" s="7" t="b">
        <f aca="false">FALSE()</f>
        <v>0</v>
      </c>
    </row>
    <row r="460" customFormat="false" ht="15" hidden="false" customHeight="false" outlineLevel="0" collapsed="false">
      <c r="A460" s="6" t="n">
        <v>312059</v>
      </c>
      <c r="B460" s="6" t="s">
        <v>735</v>
      </c>
      <c r="C460" s="6" t="s">
        <v>736</v>
      </c>
      <c r="D460" s="6" t="s">
        <v>42</v>
      </c>
      <c r="E460" s="6" t="s">
        <v>35</v>
      </c>
      <c r="F460" s="6" t="n">
        <v>22.706572</v>
      </c>
      <c r="G460" s="6" t="n">
        <v>88.374349</v>
      </c>
      <c r="H460" s="6" t="n">
        <v>1</v>
      </c>
      <c r="I460" s="6" t="n">
        <v>60</v>
      </c>
      <c r="J460" s="6" t="s">
        <v>39</v>
      </c>
      <c r="K460" s="7" t="b">
        <f aca="false">TRUE()</f>
        <v>1</v>
      </c>
    </row>
    <row r="461" customFormat="false" ht="15" hidden="false" customHeight="false" outlineLevel="0" collapsed="false">
      <c r="A461" s="6" t="n">
        <v>312058</v>
      </c>
      <c r="B461" s="6" t="s">
        <v>737</v>
      </c>
      <c r="C461" s="6" t="s">
        <v>41</v>
      </c>
      <c r="D461" s="6" t="s">
        <v>42</v>
      </c>
      <c r="E461" s="6" t="s">
        <v>35</v>
      </c>
      <c r="F461" s="6" t="n">
        <v>22.573506</v>
      </c>
      <c r="G461" s="6" t="n">
        <v>88.4023</v>
      </c>
      <c r="H461" s="6" t="n">
        <v>1</v>
      </c>
      <c r="I461" s="6" t="n">
        <v>30</v>
      </c>
      <c r="J461" s="6" t="s">
        <v>36</v>
      </c>
      <c r="K461" s="7" t="b">
        <f aca="false">FALSE()</f>
        <v>0</v>
      </c>
    </row>
    <row r="462" customFormat="false" ht="15" hidden="false" customHeight="false" outlineLevel="0" collapsed="false">
      <c r="A462" s="6" t="n">
        <v>312046</v>
      </c>
      <c r="B462" s="6" t="s">
        <v>738</v>
      </c>
      <c r="C462" s="6" t="s">
        <v>739</v>
      </c>
      <c r="D462" s="6" t="s">
        <v>739</v>
      </c>
      <c r="E462" s="6" t="s">
        <v>35</v>
      </c>
      <c r="F462" s="6" t="n">
        <v>28.706612</v>
      </c>
      <c r="G462" s="6" t="n">
        <v>77.182108</v>
      </c>
      <c r="H462" s="6" t="n">
        <v>4</v>
      </c>
      <c r="I462" s="6" t="n">
        <v>60</v>
      </c>
      <c r="J462" s="6" t="s">
        <v>39</v>
      </c>
      <c r="K462" s="7" t="b">
        <f aca="false">TRUE()</f>
        <v>1</v>
      </c>
    </row>
    <row r="463" customFormat="false" ht="15" hidden="false" customHeight="false" outlineLevel="0" collapsed="false">
      <c r="A463" s="6" t="n">
        <v>311985</v>
      </c>
      <c r="B463" s="6" t="s">
        <v>740</v>
      </c>
      <c r="C463" s="6" t="s">
        <v>741</v>
      </c>
      <c r="D463" s="6" t="s">
        <v>742</v>
      </c>
      <c r="E463" s="6" t="s">
        <v>35</v>
      </c>
      <c r="F463" s="6" t="n">
        <v>21.885671</v>
      </c>
      <c r="G463" s="6" t="n">
        <v>77.883991</v>
      </c>
      <c r="H463" s="6" t="n">
        <v>1</v>
      </c>
      <c r="I463" s="6" t="n">
        <v>60</v>
      </c>
      <c r="J463" s="6" t="s">
        <v>39</v>
      </c>
      <c r="K463" s="7" t="b">
        <f aca="false">TRUE()</f>
        <v>1</v>
      </c>
    </row>
    <row r="464" customFormat="false" ht="15" hidden="false" customHeight="false" outlineLevel="0" collapsed="false">
      <c r="A464" s="6" t="n">
        <v>311983</v>
      </c>
      <c r="B464" s="6" t="s">
        <v>743</v>
      </c>
      <c r="C464" s="6" t="s">
        <v>744</v>
      </c>
      <c r="D464" s="6" t="s">
        <v>72</v>
      </c>
      <c r="E464" s="6" t="s">
        <v>35</v>
      </c>
      <c r="F464" s="6" t="n">
        <v>20.574439</v>
      </c>
      <c r="G464" s="6" t="n">
        <v>78.882304</v>
      </c>
      <c r="H464" s="6" t="n">
        <v>2</v>
      </c>
      <c r="I464" s="6" t="n">
        <v>30</v>
      </c>
      <c r="J464" s="6" t="s">
        <v>36</v>
      </c>
      <c r="K464" s="7" t="b">
        <f aca="false">FALSE()</f>
        <v>0</v>
      </c>
    </row>
    <row r="465" customFormat="false" ht="15" hidden="false" customHeight="false" outlineLevel="0" collapsed="false">
      <c r="A465" s="6" t="n">
        <v>311977</v>
      </c>
      <c r="B465" s="6" t="s">
        <v>745</v>
      </c>
      <c r="C465" s="6" t="s">
        <v>746</v>
      </c>
      <c r="D465" s="6" t="s">
        <v>747</v>
      </c>
      <c r="E465" s="6" t="s">
        <v>35</v>
      </c>
      <c r="F465" s="6" t="n">
        <v>15.026219</v>
      </c>
      <c r="G465" s="6" t="n">
        <v>77.621073</v>
      </c>
      <c r="H465" s="6" t="n">
        <v>2</v>
      </c>
      <c r="I465" s="6" t="n">
        <v>150</v>
      </c>
      <c r="J465" s="6" t="s">
        <v>748</v>
      </c>
      <c r="K465" s="7" t="b">
        <f aca="false">TRUE()</f>
        <v>1</v>
      </c>
    </row>
    <row r="466" customFormat="false" ht="15" hidden="false" customHeight="false" outlineLevel="0" collapsed="false">
      <c r="A466" s="6" t="n">
        <v>311910</v>
      </c>
      <c r="B466" s="6" t="s">
        <v>749</v>
      </c>
      <c r="C466" s="6" t="s">
        <v>750</v>
      </c>
      <c r="D466" s="6" t="s">
        <v>34</v>
      </c>
      <c r="E466" s="6" t="s">
        <v>35</v>
      </c>
      <c r="F466" s="6" t="n">
        <v>12.76619</v>
      </c>
      <c r="G466" s="6" t="n">
        <v>75.19666</v>
      </c>
      <c r="H466" s="6" t="n">
        <v>2</v>
      </c>
      <c r="I466" s="6" t="n">
        <v>24</v>
      </c>
      <c r="J466" s="6" t="s">
        <v>36</v>
      </c>
      <c r="K466" s="7" t="b">
        <f aca="false">FALSE()</f>
        <v>0</v>
      </c>
    </row>
    <row r="467" customFormat="false" ht="15" hidden="false" customHeight="false" outlineLevel="0" collapsed="false">
      <c r="A467" s="6" t="n">
        <v>311895</v>
      </c>
      <c r="B467" s="6" t="s">
        <v>751</v>
      </c>
      <c r="C467" s="6" t="s">
        <v>752</v>
      </c>
      <c r="D467" s="6" t="s">
        <v>753</v>
      </c>
      <c r="E467" s="6" t="s">
        <v>35</v>
      </c>
      <c r="F467" s="6" t="n">
        <v>12.481488</v>
      </c>
      <c r="G467" s="6" t="n">
        <v>79.862522</v>
      </c>
      <c r="H467" s="6" t="n">
        <v>1</v>
      </c>
      <c r="I467" s="6"/>
      <c r="J467" s="6" t="s">
        <v>43</v>
      </c>
      <c r="K467" s="7" t="b">
        <f aca="false">FALSE()</f>
        <v>0</v>
      </c>
    </row>
    <row r="468" customFormat="false" ht="15" hidden="false" customHeight="false" outlineLevel="0" collapsed="false">
      <c r="A468" s="6" t="n">
        <v>311813</v>
      </c>
      <c r="B468" s="6" t="s">
        <v>754</v>
      </c>
      <c r="C468" s="6" t="s">
        <v>755</v>
      </c>
      <c r="D468" s="6" t="s">
        <v>723</v>
      </c>
      <c r="E468" s="6" t="s">
        <v>35</v>
      </c>
      <c r="F468" s="6" t="n">
        <v>28.54753</v>
      </c>
      <c r="G468" s="6" t="n">
        <v>77.44491</v>
      </c>
      <c r="H468" s="6" t="n">
        <v>3</v>
      </c>
      <c r="I468" s="6" t="n">
        <v>9</v>
      </c>
      <c r="J468" s="6" t="s">
        <v>756</v>
      </c>
      <c r="K468" s="7" t="b">
        <f aca="false">FALSE()</f>
        <v>0</v>
      </c>
    </row>
    <row r="469" customFormat="false" ht="15" hidden="false" customHeight="false" outlineLevel="0" collapsed="false">
      <c r="A469" s="6" t="n">
        <v>311731</v>
      </c>
      <c r="B469" s="6" t="s">
        <v>757</v>
      </c>
      <c r="C469" s="6" t="s">
        <v>758</v>
      </c>
      <c r="D469" s="6" t="s">
        <v>46</v>
      </c>
      <c r="E469" s="6" t="s">
        <v>35</v>
      </c>
      <c r="F469" s="6" t="n">
        <v>10.719479</v>
      </c>
      <c r="G469" s="6" t="n">
        <v>76.07748</v>
      </c>
      <c r="H469" s="6" t="n">
        <v>2</v>
      </c>
      <c r="I469" s="6" t="n">
        <v>60</v>
      </c>
      <c r="J469" s="6" t="s">
        <v>39</v>
      </c>
      <c r="K469" s="7" t="b">
        <f aca="false">TRUE()</f>
        <v>1</v>
      </c>
    </row>
    <row r="470" customFormat="false" ht="15" hidden="false" customHeight="false" outlineLevel="0" collapsed="false">
      <c r="A470" s="6" t="n">
        <v>311680</v>
      </c>
      <c r="B470" s="6" t="s">
        <v>759</v>
      </c>
      <c r="C470" s="6" t="s">
        <v>760</v>
      </c>
      <c r="D470" s="6" t="s">
        <v>753</v>
      </c>
      <c r="E470" s="6" t="s">
        <v>35</v>
      </c>
      <c r="F470" s="6" t="n">
        <v>13.07148</v>
      </c>
      <c r="G470" s="6" t="n">
        <v>80.11256</v>
      </c>
      <c r="H470" s="6" t="n">
        <v>1</v>
      </c>
      <c r="I470" s="6" t="n">
        <v>30</v>
      </c>
      <c r="J470" s="6" t="s">
        <v>36</v>
      </c>
      <c r="K470" s="7" t="b">
        <f aca="false">FALSE()</f>
        <v>0</v>
      </c>
    </row>
    <row r="471" customFormat="false" ht="15" hidden="false" customHeight="false" outlineLevel="0" collapsed="false">
      <c r="A471" s="6" t="n">
        <v>311679</v>
      </c>
      <c r="B471" s="6" t="s">
        <v>761</v>
      </c>
      <c r="C471" s="6" t="s">
        <v>762</v>
      </c>
      <c r="D471" s="6" t="s">
        <v>753</v>
      </c>
      <c r="E471" s="6" t="s">
        <v>35</v>
      </c>
      <c r="F471" s="6" t="n">
        <v>13.19516</v>
      </c>
      <c r="G471" s="6" t="n">
        <v>79.64576</v>
      </c>
      <c r="H471" s="6" t="n">
        <v>1</v>
      </c>
      <c r="I471" s="6" t="n">
        <v>24</v>
      </c>
      <c r="J471" s="6" t="s">
        <v>36</v>
      </c>
      <c r="K471" s="7" t="b">
        <f aca="false">FALSE()</f>
        <v>0</v>
      </c>
    </row>
    <row r="472" customFormat="false" ht="15" hidden="false" customHeight="false" outlineLevel="0" collapsed="false">
      <c r="A472" s="6" t="n">
        <v>311678</v>
      </c>
      <c r="B472" s="6" t="s">
        <v>763</v>
      </c>
      <c r="C472" s="6" t="s">
        <v>764</v>
      </c>
      <c r="D472" s="6" t="s">
        <v>753</v>
      </c>
      <c r="E472" s="6" t="s">
        <v>35</v>
      </c>
      <c r="F472" s="6" t="n">
        <v>12.86196</v>
      </c>
      <c r="G472" s="6" t="n">
        <v>79.13251</v>
      </c>
      <c r="H472" s="6" t="n">
        <v>1</v>
      </c>
      <c r="I472" s="6" t="n">
        <v>30</v>
      </c>
      <c r="J472" s="6" t="s">
        <v>36</v>
      </c>
      <c r="K472" s="7" t="b">
        <f aca="false">FALSE()</f>
        <v>0</v>
      </c>
    </row>
    <row r="473" customFormat="false" ht="15" hidden="false" customHeight="false" outlineLevel="0" collapsed="false">
      <c r="A473" s="6" t="n">
        <v>311677</v>
      </c>
      <c r="B473" s="6" t="s">
        <v>765</v>
      </c>
      <c r="C473" s="6" t="s">
        <v>764</v>
      </c>
      <c r="D473" s="6" t="s">
        <v>753</v>
      </c>
      <c r="E473" s="6" t="s">
        <v>35</v>
      </c>
      <c r="F473" s="6" t="n">
        <v>12.93209</v>
      </c>
      <c r="G473" s="6" t="n">
        <v>79.13843</v>
      </c>
      <c r="H473" s="6" t="n">
        <v>1</v>
      </c>
      <c r="I473" s="6" t="n">
        <v>24</v>
      </c>
      <c r="J473" s="6" t="s">
        <v>36</v>
      </c>
      <c r="K473" s="7" t="b">
        <f aca="false">FALSE()</f>
        <v>0</v>
      </c>
    </row>
    <row r="474" customFormat="false" ht="15" hidden="false" customHeight="false" outlineLevel="0" collapsed="false">
      <c r="A474" s="6" t="n">
        <v>311676</v>
      </c>
      <c r="B474" s="6" t="s">
        <v>766</v>
      </c>
      <c r="C474" s="6" t="s">
        <v>767</v>
      </c>
      <c r="D474" s="6" t="s">
        <v>753</v>
      </c>
      <c r="E474" s="6" t="s">
        <v>35</v>
      </c>
      <c r="F474" s="6" t="n">
        <v>12.64682</v>
      </c>
      <c r="G474" s="6" t="n">
        <v>78.58269</v>
      </c>
      <c r="H474" s="6" t="n">
        <v>1</v>
      </c>
      <c r="I474" s="6" t="n">
        <v>60</v>
      </c>
      <c r="J474" s="6" t="s">
        <v>39</v>
      </c>
      <c r="K474" s="7" t="b">
        <f aca="false">TRUE()</f>
        <v>1</v>
      </c>
    </row>
    <row r="475" customFormat="false" ht="15" hidden="false" customHeight="false" outlineLevel="0" collapsed="false">
      <c r="A475" s="6" t="n">
        <v>311648</v>
      </c>
      <c r="B475" s="6" t="s">
        <v>768</v>
      </c>
      <c r="C475" s="6" t="s">
        <v>769</v>
      </c>
      <c r="D475" s="6" t="s">
        <v>753</v>
      </c>
      <c r="E475" s="6" t="s">
        <v>35</v>
      </c>
      <c r="F475" s="6" t="n">
        <v>11.71937</v>
      </c>
      <c r="G475" s="6" t="n">
        <v>79.33668</v>
      </c>
      <c r="H475" s="6" t="n">
        <v>1</v>
      </c>
      <c r="I475" s="6" t="n">
        <v>30</v>
      </c>
      <c r="J475" s="6" t="s">
        <v>36</v>
      </c>
      <c r="K475" s="7" t="b">
        <f aca="false">FALSE()</f>
        <v>0</v>
      </c>
    </row>
    <row r="476" customFormat="false" ht="15" hidden="false" customHeight="false" outlineLevel="0" collapsed="false">
      <c r="A476" s="6" t="n">
        <v>311647</v>
      </c>
      <c r="B476" s="6" t="s">
        <v>770</v>
      </c>
      <c r="C476" s="6" t="s">
        <v>771</v>
      </c>
      <c r="D476" s="6" t="s">
        <v>753</v>
      </c>
      <c r="E476" s="6" t="s">
        <v>35</v>
      </c>
      <c r="F476" s="6" t="n">
        <v>11.59206</v>
      </c>
      <c r="G476" s="6" t="n">
        <v>79.15621</v>
      </c>
      <c r="H476" s="6" t="n">
        <v>1</v>
      </c>
      <c r="I476" s="6" t="n">
        <v>50</v>
      </c>
      <c r="J476" s="6" t="s">
        <v>39</v>
      </c>
      <c r="K476" s="7" t="b">
        <f aca="false">TRUE()</f>
        <v>1</v>
      </c>
    </row>
    <row r="477" customFormat="false" ht="15" hidden="false" customHeight="false" outlineLevel="0" collapsed="false">
      <c r="A477" s="6" t="n">
        <v>311646</v>
      </c>
      <c r="B477" s="6" t="s">
        <v>772</v>
      </c>
      <c r="C477" s="6" t="s">
        <v>773</v>
      </c>
      <c r="D477" s="6" t="s">
        <v>753</v>
      </c>
      <c r="E477" s="6" t="s">
        <v>35</v>
      </c>
      <c r="F477" s="6" t="n">
        <v>11.71086</v>
      </c>
      <c r="G477" s="6" t="n">
        <v>78.94797</v>
      </c>
      <c r="H477" s="6" t="n">
        <v>1</v>
      </c>
      <c r="I477" s="6" t="n">
        <v>60</v>
      </c>
      <c r="J477" s="6" t="s">
        <v>39</v>
      </c>
      <c r="K477" s="7" t="b">
        <f aca="false">TRUE()</f>
        <v>1</v>
      </c>
    </row>
    <row r="478" customFormat="false" ht="15" hidden="false" customHeight="false" outlineLevel="0" collapsed="false">
      <c r="A478" s="6" t="n">
        <v>311645</v>
      </c>
      <c r="B478" s="6" t="s">
        <v>774</v>
      </c>
      <c r="C478" s="6" t="s">
        <v>775</v>
      </c>
      <c r="D478" s="6" t="s">
        <v>753</v>
      </c>
      <c r="E478" s="6" t="s">
        <v>35</v>
      </c>
      <c r="F478" s="6" t="n">
        <v>11.592</v>
      </c>
      <c r="G478" s="6" t="n">
        <v>78.62726</v>
      </c>
      <c r="H478" s="6" t="n">
        <v>1</v>
      </c>
      <c r="I478" s="6" t="n">
        <v>50</v>
      </c>
      <c r="J478" s="6" t="s">
        <v>39</v>
      </c>
      <c r="K478" s="7" t="b">
        <f aca="false">TRUE()</f>
        <v>1</v>
      </c>
    </row>
    <row r="479" customFormat="false" ht="15" hidden="false" customHeight="false" outlineLevel="0" collapsed="false">
      <c r="A479" s="6" t="n">
        <v>311644</v>
      </c>
      <c r="B479" s="6" t="s">
        <v>776</v>
      </c>
      <c r="C479" s="6" t="s">
        <v>777</v>
      </c>
      <c r="D479" s="6" t="s">
        <v>753</v>
      </c>
      <c r="E479" s="6" t="s">
        <v>35</v>
      </c>
      <c r="F479" s="6" t="n">
        <v>11.209</v>
      </c>
      <c r="G479" s="6" t="n">
        <v>78.8828</v>
      </c>
      <c r="H479" s="6" t="n">
        <v>1</v>
      </c>
      <c r="I479" s="6" t="n">
        <v>50</v>
      </c>
      <c r="J479" s="6" t="s">
        <v>39</v>
      </c>
      <c r="K479" s="7" t="b">
        <f aca="false">TRUE()</f>
        <v>1</v>
      </c>
    </row>
    <row r="480" customFormat="false" ht="15" hidden="false" customHeight="false" outlineLevel="0" collapsed="false">
      <c r="A480" s="6" t="n">
        <v>311643</v>
      </c>
      <c r="B480" s="6" t="s">
        <v>778</v>
      </c>
      <c r="C480" s="6" t="s">
        <v>779</v>
      </c>
      <c r="D480" s="6" t="s">
        <v>780</v>
      </c>
      <c r="E480" s="6" t="s">
        <v>35</v>
      </c>
      <c r="F480" s="6" t="n">
        <v>10.93799</v>
      </c>
      <c r="G480" s="6" t="n">
        <v>79.8224</v>
      </c>
      <c r="H480" s="6" t="n">
        <v>1</v>
      </c>
      <c r="I480" s="6" t="n">
        <v>24</v>
      </c>
      <c r="J480" s="6" t="s">
        <v>36</v>
      </c>
      <c r="K480" s="7" t="b">
        <f aca="false">FALSE()</f>
        <v>0</v>
      </c>
    </row>
    <row r="481" customFormat="false" ht="15" hidden="false" customHeight="false" outlineLevel="0" collapsed="false">
      <c r="A481" s="6" t="n">
        <v>311642</v>
      </c>
      <c r="B481" s="6" t="s">
        <v>781</v>
      </c>
      <c r="C481" s="6" t="s">
        <v>782</v>
      </c>
      <c r="D481" s="6" t="s">
        <v>753</v>
      </c>
      <c r="E481" s="6" t="s">
        <v>35</v>
      </c>
      <c r="F481" s="6" t="n">
        <v>10.68292</v>
      </c>
      <c r="G481" s="6" t="n">
        <v>79.8478</v>
      </c>
      <c r="H481" s="6" t="n">
        <v>1</v>
      </c>
      <c r="I481" s="6" t="n">
        <v>24</v>
      </c>
      <c r="J481" s="6" t="s">
        <v>36</v>
      </c>
      <c r="K481" s="7" t="b">
        <f aca="false">FALSE()</f>
        <v>0</v>
      </c>
    </row>
    <row r="482" customFormat="false" ht="15" hidden="false" customHeight="false" outlineLevel="0" collapsed="false">
      <c r="A482" s="6" t="n">
        <v>311641</v>
      </c>
      <c r="B482" s="6" t="s">
        <v>783</v>
      </c>
      <c r="C482" s="6" t="s">
        <v>784</v>
      </c>
      <c r="D482" s="6" t="s">
        <v>753</v>
      </c>
      <c r="E482" s="6" t="s">
        <v>35</v>
      </c>
      <c r="F482" s="6" t="n">
        <v>10.728</v>
      </c>
      <c r="G482" s="6" t="n">
        <v>79.04692</v>
      </c>
      <c r="H482" s="6" t="n">
        <v>1</v>
      </c>
      <c r="I482" s="6" t="n">
        <v>30</v>
      </c>
      <c r="J482" s="6" t="s">
        <v>36</v>
      </c>
      <c r="K482" s="7" t="b">
        <f aca="false">FALSE()</f>
        <v>0</v>
      </c>
    </row>
    <row r="483" customFormat="false" ht="15" hidden="false" customHeight="false" outlineLevel="0" collapsed="false">
      <c r="A483" s="6" t="n">
        <v>311640</v>
      </c>
      <c r="B483" s="6" t="s">
        <v>785</v>
      </c>
      <c r="C483" s="6" t="s">
        <v>786</v>
      </c>
      <c r="D483" s="6" t="s">
        <v>753</v>
      </c>
      <c r="E483" s="6" t="s">
        <v>35</v>
      </c>
      <c r="F483" s="6" t="n">
        <v>10.85843</v>
      </c>
      <c r="G483" s="6" t="n">
        <v>78.71129</v>
      </c>
      <c r="H483" s="6" t="n">
        <v>1</v>
      </c>
      <c r="I483" s="6" t="n">
        <v>50</v>
      </c>
      <c r="J483" s="6" t="s">
        <v>39</v>
      </c>
      <c r="K483" s="7" t="b">
        <f aca="false">TRUE()</f>
        <v>1</v>
      </c>
    </row>
    <row r="484" customFormat="false" ht="15" hidden="false" customHeight="false" outlineLevel="0" collapsed="false">
      <c r="A484" s="6" t="n">
        <v>311639</v>
      </c>
      <c r="B484" s="6" t="s">
        <v>787</v>
      </c>
      <c r="C484" s="6" t="s">
        <v>788</v>
      </c>
      <c r="D484" s="6" t="s">
        <v>753</v>
      </c>
      <c r="E484" s="6" t="s">
        <v>35</v>
      </c>
      <c r="F484" s="6" t="n">
        <v>10.6244</v>
      </c>
      <c r="G484" s="6" t="n">
        <v>78.56317</v>
      </c>
      <c r="H484" s="6" t="n">
        <v>1</v>
      </c>
      <c r="I484" s="6" t="n">
        <v>24</v>
      </c>
      <c r="J484" s="6" t="s">
        <v>36</v>
      </c>
      <c r="K484" s="7" t="b">
        <f aca="false">FALSE()</f>
        <v>0</v>
      </c>
    </row>
    <row r="485" customFormat="false" ht="15" hidden="false" customHeight="false" outlineLevel="0" collapsed="false">
      <c r="A485" s="6" t="n">
        <v>311638</v>
      </c>
      <c r="B485" s="6" t="s">
        <v>789</v>
      </c>
      <c r="C485" s="6" t="s">
        <v>790</v>
      </c>
      <c r="D485" s="6" t="s">
        <v>753</v>
      </c>
      <c r="E485" s="6" t="s">
        <v>35</v>
      </c>
      <c r="F485" s="6" t="n">
        <v>10.79194</v>
      </c>
      <c r="G485" s="6" t="n">
        <v>78.65714</v>
      </c>
      <c r="H485" s="6" t="n">
        <v>1</v>
      </c>
      <c r="I485" s="6" t="n">
        <v>24</v>
      </c>
      <c r="J485" s="6" t="s">
        <v>36</v>
      </c>
      <c r="K485" s="7" t="b">
        <f aca="false">FALSE()</f>
        <v>0</v>
      </c>
    </row>
    <row r="486" customFormat="false" ht="15" hidden="false" customHeight="false" outlineLevel="0" collapsed="false">
      <c r="A486" s="6" t="n">
        <v>311637</v>
      </c>
      <c r="B486" s="6" t="s">
        <v>791</v>
      </c>
      <c r="C486" s="6" t="s">
        <v>792</v>
      </c>
      <c r="D486" s="6" t="s">
        <v>753</v>
      </c>
      <c r="E486" s="6" t="s">
        <v>35</v>
      </c>
      <c r="F486" s="6" t="n">
        <v>10.07009</v>
      </c>
      <c r="G486" s="6" t="n">
        <v>78.76079</v>
      </c>
      <c r="H486" s="6" t="n">
        <v>1</v>
      </c>
      <c r="I486" s="6" t="n">
        <v>30</v>
      </c>
      <c r="J486" s="6" t="s">
        <v>36</v>
      </c>
      <c r="K486" s="7" t="b">
        <f aca="false">FALSE()</f>
        <v>0</v>
      </c>
    </row>
    <row r="487" customFormat="false" ht="15" hidden="false" customHeight="false" outlineLevel="0" collapsed="false">
      <c r="A487" s="6" t="n">
        <v>311636</v>
      </c>
      <c r="B487" s="6" t="s">
        <v>793</v>
      </c>
      <c r="C487" s="6" t="s">
        <v>794</v>
      </c>
      <c r="D487" s="6" t="s">
        <v>753</v>
      </c>
      <c r="E487" s="6" t="s">
        <v>35</v>
      </c>
      <c r="F487" s="6" t="n">
        <v>8.7816</v>
      </c>
      <c r="G487" s="6" t="n">
        <v>78.10053</v>
      </c>
      <c r="H487" s="6" t="n">
        <v>1</v>
      </c>
      <c r="I487" s="6" t="n">
        <v>30</v>
      </c>
      <c r="J487" s="6" t="s">
        <v>36</v>
      </c>
      <c r="K487" s="7" t="b">
        <f aca="false">FALSE()</f>
        <v>0</v>
      </c>
    </row>
    <row r="488" customFormat="false" ht="15" hidden="false" customHeight="false" outlineLevel="0" collapsed="false">
      <c r="A488" s="6" t="n">
        <v>311635</v>
      </c>
      <c r="B488" s="6" t="s">
        <v>795</v>
      </c>
      <c r="C488" s="6" t="s">
        <v>796</v>
      </c>
      <c r="D488" s="6" t="s">
        <v>753</v>
      </c>
      <c r="E488" s="6" t="s">
        <v>35</v>
      </c>
      <c r="F488" s="6" t="n">
        <v>8.53918</v>
      </c>
      <c r="G488" s="6" t="n">
        <v>78.11771</v>
      </c>
      <c r="H488" s="6" t="n">
        <v>1</v>
      </c>
      <c r="I488" s="6" t="n">
        <v>24</v>
      </c>
      <c r="J488" s="6" t="s">
        <v>36</v>
      </c>
      <c r="K488" s="7" t="b">
        <f aca="false">FALSE()</f>
        <v>0</v>
      </c>
    </row>
    <row r="489" customFormat="false" ht="15" hidden="false" customHeight="false" outlineLevel="0" collapsed="false">
      <c r="A489" s="6" t="n">
        <v>311634</v>
      </c>
      <c r="B489" s="6" t="s">
        <v>797</v>
      </c>
      <c r="C489" s="6" t="s">
        <v>798</v>
      </c>
      <c r="D489" s="6" t="s">
        <v>753</v>
      </c>
      <c r="E489" s="6" t="s">
        <v>35</v>
      </c>
      <c r="F489" s="6" t="n">
        <v>11.4866</v>
      </c>
      <c r="G489" s="6" t="n">
        <v>77.99226</v>
      </c>
      <c r="H489" s="6" t="n">
        <v>1</v>
      </c>
      <c r="I489" s="6" t="n">
        <v>30</v>
      </c>
      <c r="J489" s="6" t="s">
        <v>36</v>
      </c>
      <c r="K489" s="7" t="b">
        <f aca="false">FALSE()</f>
        <v>0</v>
      </c>
    </row>
    <row r="490" customFormat="false" ht="15" hidden="false" customHeight="false" outlineLevel="0" collapsed="false">
      <c r="A490" s="6" t="n">
        <v>311633</v>
      </c>
      <c r="B490" s="6" t="s">
        <v>799</v>
      </c>
      <c r="C490" s="6" t="s">
        <v>800</v>
      </c>
      <c r="D490" s="6" t="s">
        <v>753</v>
      </c>
      <c r="E490" s="6" t="s">
        <v>35</v>
      </c>
      <c r="F490" s="6" t="n">
        <v>11.3998</v>
      </c>
      <c r="G490" s="6" t="n">
        <v>77.62536</v>
      </c>
      <c r="H490" s="6" t="n">
        <v>1</v>
      </c>
      <c r="I490" s="6" t="n">
        <v>50</v>
      </c>
      <c r="J490" s="6" t="s">
        <v>39</v>
      </c>
      <c r="K490" s="7" t="b">
        <f aca="false">TRUE()</f>
        <v>1</v>
      </c>
    </row>
    <row r="491" customFormat="false" ht="15" hidden="false" customHeight="false" outlineLevel="0" collapsed="false">
      <c r="A491" s="6" t="n">
        <v>311632</v>
      </c>
      <c r="B491" s="6" t="s">
        <v>801</v>
      </c>
      <c r="C491" s="6" t="s">
        <v>800</v>
      </c>
      <c r="D491" s="6" t="s">
        <v>753</v>
      </c>
      <c r="E491" s="6" t="s">
        <v>35</v>
      </c>
      <c r="F491" s="6" t="n">
        <v>11.37172</v>
      </c>
      <c r="G491" s="6" t="n">
        <v>77.64731</v>
      </c>
      <c r="H491" s="6" t="n">
        <v>1</v>
      </c>
      <c r="I491" s="6" t="n">
        <v>60</v>
      </c>
      <c r="J491" s="6" t="s">
        <v>39</v>
      </c>
      <c r="K491" s="7" t="b">
        <f aca="false">TRUE()</f>
        <v>1</v>
      </c>
    </row>
    <row r="492" customFormat="false" ht="15" hidden="false" customHeight="false" outlineLevel="0" collapsed="false">
      <c r="A492" s="6" t="n">
        <v>311631</v>
      </c>
      <c r="B492" s="6" t="s">
        <v>802</v>
      </c>
      <c r="C492" s="6" t="s">
        <v>800</v>
      </c>
      <c r="D492" s="6" t="s">
        <v>753</v>
      </c>
      <c r="E492" s="6" t="s">
        <v>35</v>
      </c>
      <c r="F492" s="6" t="n">
        <v>11.31239</v>
      </c>
      <c r="G492" s="6" t="n">
        <v>77.66505</v>
      </c>
      <c r="H492" s="6" t="n">
        <v>1</v>
      </c>
      <c r="I492" s="6" t="n">
        <v>24</v>
      </c>
      <c r="J492" s="6" t="s">
        <v>36</v>
      </c>
      <c r="K492" s="7" t="b">
        <f aca="false">FALSE()</f>
        <v>0</v>
      </c>
    </row>
    <row r="493" customFormat="false" ht="15" hidden="false" customHeight="false" outlineLevel="0" collapsed="false">
      <c r="A493" s="6" t="n">
        <v>311630</v>
      </c>
      <c r="B493" s="6" t="s">
        <v>803</v>
      </c>
      <c r="C493" s="6" t="s">
        <v>804</v>
      </c>
      <c r="D493" s="6" t="s">
        <v>753</v>
      </c>
      <c r="E493" s="6" t="s">
        <v>35</v>
      </c>
      <c r="F493" s="6" t="n">
        <v>11.28353</v>
      </c>
      <c r="G493" s="6" t="n">
        <v>77.55823</v>
      </c>
      <c r="H493" s="6" t="n">
        <v>1</v>
      </c>
      <c r="I493" s="6" t="n">
        <v>30</v>
      </c>
      <c r="J493" s="6" t="s">
        <v>36</v>
      </c>
      <c r="K493" s="7" t="b">
        <f aca="false">FALSE()</f>
        <v>0</v>
      </c>
    </row>
    <row r="494" customFormat="false" ht="15" hidden="false" customHeight="false" outlineLevel="0" collapsed="false">
      <c r="A494" s="6" t="n">
        <v>311629</v>
      </c>
      <c r="B494" s="6" t="s">
        <v>805</v>
      </c>
      <c r="C494" s="6" t="s">
        <v>806</v>
      </c>
      <c r="D494" s="6" t="s">
        <v>753</v>
      </c>
      <c r="E494" s="6" t="s">
        <v>35</v>
      </c>
      <c r="F494" s="6" t="n">
        <v>11.17708</v>
      </c>
      <c r="G494" s="6" t="n">
        <v>77.24713</v>
      </c>
      <c r="H494" s="6" t="n">
        <v>1</v>
      </c>
      <c r="I494" s="6" t="n">
        <v>30</v>
      </c>
      <c r="J494" s="6" t="s">
        <v>36</v>
      </c>
      <c r="K494" s="7" t="b">
        <f aca="false">FALSE()</f>
        <v>0</v>
      </c>
    </row>
    <row r="495" customFormat="false" ht="15" hidden="false" customHeight="false" outlineLevel="0" collapsed="false">
      <c r="A495" s="6" t="n">
        <v>311628</v>
      </c>
      <c r="B495" s="6" t="s">
        <v>807</v>
      </c>
      <c r="C495" s="6" t="s">
        <v>806</v>
      </c>
      <c r="D495" s="6" t="s">
        <v>753</v>
      </c>
      <c r="E495" s="6" t="s">
        <v>35</v>
      </c>
      <c r="F495" s="6" t="n">
        <v>11.17513</v>
      </c>
      <c r="G495" s="6" t="n">
        <v>77.26342</v>
      </c>
      <c r="H495" s="6" t="n">
        <v>1</v>
      </c>
      <c r="I495" s="6" t="n">
        <v>60</v>
      </c>
      <c r="J495" s="6" t="s">
        <v>39</v>
      </c>
      <c r="K495" s="7" t="b">
        <f aca="false">TRUE()</f>
        <v>1</v>
      </c>
    </row>
    <row r="496" customFormat="false" ht="15" hidden="false" customHeight="false" outlineLevel="0" collapsed="false">
      <c r="A496" s="6" t="n">
        <v>311627</v>
      </c>
      <c r="B496" s="6" t="s">
        <v>808</v>
      </c>
      <c r="C496" s="6" t="s">
        <v>806</v>
      </c>
      <c r="D496" s="6" t="s">
        <v>753</v>
      </c>
      <c r="E496" s="6" t="s">
        <v>35</v>
      </c>
      <c r="F496" s="6" t="n">
        <v>11.17719</v>
      </c>
      <c r="G496" s="6" t="n">
        <v>77.28392</v>
      </c>
      <c r="H496" s="6" t="n">
        <v>1</v>
      </c>
      <c r="I496" s="6" t="n">
        <v>50</v>
      </c>
      <c r="J496" s="6" t="s">
        <v>39</v>
      </c>
      <c r="K496" s="7" t="b">
        <f aca="false">TRUE()</f>
        <v>1</v>
      </c>
    </row>
    <row r="497" customFormat="false" ht="15" hidden="false" customHeight="false" outlineLevel="0" collapsed="false">
      <c r="A497" s="6" t="n">
        <v>311626</v>
      </c>
      <c r="B497" s="6" t="s">
        <v>809</v>
      </c>
      <c r="C497" s="6" t="s">
        <v>806</v>
      </c>
      <c r="D497" s="6" t="s">
        <v>753</v>
      </c>
      <c r="E497" s="6" t="s">
        <v>35</v>
      </c>
      <c r="F497" s="6" t="n">
        <v>11.1778</v>
      </c>
      <c r="G497" s="6" t="n">
        <v>77.28318</v>
      </c>
      <c r="H497" s="6" t="n">
        <v>1</v>
      </c>
      <c r="I497" s="6" t="n">
        <v>30</v>
      </c>
      <c r="J497" s="6" t="s">
        <v>36</v>
      </c>
      <c r="K497" s="7" t="b">
        <f aca="false">FALSE()</f>
        <v>0</v>
      </c>
    </row>
    <row r="498" customFormat="false" ht="15" hidden="false" customHeight="false" outlineLevel="0" collapsed="false">
      <c r="A498" s="6" t="n">
        <v>311625</v>
      </c>
      <c r="B498" s="6" t="s">
        <v>810</v>
      </c>
      <c r="C498" s="6" t="s">
        <v>811</v>
      </c>
      <c r="D498" s="6" t="s">
        <v>753</v>
      </c>
      <c r="E498" s="6" t="s">
        <v>35</v>
      </c>
      <c r="F498" s="6" t="n">
        <v>10.64693</v>
      </c>
      <c r="G498" s="6" t="n">
        <v>76.91992</v>
      </c>
      <c r="H498" s="6" t="n">
        <v>1</v>
      </c>
      <c r="I498" s="6" t="n">
        <v>7.4</v>
      </c>
      <c r="J498" s="6" t="s">
        <v>126</v>
      </c>
      <c r="K498" s="7" t="b">
        <f aca="false">FALSE()</f>
        <v>0</v>
      </c>
    </row>
    <row r="499" customFormat="false" ht="15" hidden="false" customHeight="false" outlineLevel="0" collapsed="false">
      <c r="A499" s="6" t="n">
        <v>311624</v>
      </c>
      <c r="B499" s="6" t="s">
        <v>812</v>
      </c>
      <c r="C499" s="6" t="s">
        <v>271</v>
      </c>
      <c r="D499" s="6" t="s">
        <v>46</v>
      </c>
      <c r="E499" s="6" t="s">
        <v>35</v>
      </c>
      <c r="F499" s="6" t="n">
        <v>10.82633</v>
      </c>
      <c r="G499" s="6" t="n">
        <v>76.82033</v>
      </c>
      <c r="H499" s="6" t="n">
        <v>1</v>
      </c>
      <c r="I499" s="6" t="n">
        <v>30</v>
      </c>
      <c r="J499" s="6" t="s">
        <v>36</v>
      </c>
      <c r="K499" s="7" t="b">
        <f aca="false">FALSE()</f>
        <v>0</v>
      </c>
    </row>
    <row r="500" customFormat="false" ht="15" hidden="false" customHeight="false" outlineLevel="0" collapsed="false">
      <c r="A500" s="6" t="n">
        <v>311623</v>
      </c>
      <c r="B500" s="6" t="s">
        <v>813</v>
      </c>
      <c r="C500" s="6" t="s">
        <v>814</v>
      </c>
      <c r="D500" s="6" t="s">
        <v>753</v>
      </c>
      <c r="E500" s="6" t="s">
        <v>35</v>
      </c>
      <c r="F500" s="6" t="n">
        <v>10.85592</v>
      </c>
      <c r="G500" s="6" t="n">
        <v>76.86251</v>
      </c>
      <c r="H500" s="6" t="n">
        <v>1</v>
      </c>
      <c r="I500" s="6" t="n">
        <v>60</v>
      </c>
      <c r="J500" s="6" t="s">
        <v>39</v>
      </c>
      <c r="K500" s="7" t="b">
        <f aca="false">TRUE()</f>
        <v>1</v>
      </c>
    </row>
    <row r="501" customFormat="false" ht="15" hidden="false" customHeight="false" outlineLevel="0" collapsed="false">
      <c r="A501" s="6" t="n">
        <v>311622</v>
      </c>
      <c r="B501" s="6" t="s">
        <v>815</v>
      </c>
      <c r="C501" s="6" t="s">
        <v>816</v>
      </c>
      <c r="D501" s="6" t="s">
        <v>753</v>
      </c>
      <c r="E501" s="6" t="s">
        <v>35</v>
      </c>
      <c r="F501" s="6" t="n">
        <v>11.11848</v>
      </c>
      <c r="G501" s="6" t="n">
        <v>76.75985</v>
      </c>
      <c r="H501" s="6" t="n">
        <v>1</v>
      </c>
      <c r="I501" s="6" t="n">
        <v>22</v>
      </c>
      <c r="J501" s="6" t="s">
        <v>36</v>
      </c>
      <c r="K501" s="7" t="b">
        <f aca="false">FALSE()</f>
        <v>0</v>
      </c>
    </row>
    <row r="502" customFormat="false" ht="15" hidden="false" customHeight="false" outlineLevel="0" collapsed="false">
      <c r="A502" s="6" t="n">
        <v>311610</v>
      </c>
      <c r="B502" s="6" t="s">
        <v>817</v>
      </c>
      <c r="C502" s="6" t="s">
        <v>818</v>
      </c>
      <c r="D502" s="6" t="s">
        <v>753</v>
      </c>
      <c r="E502" s="6" t="s">
        <v>35</v>
      </c>
      <c r="F502" s="6" t="n">
        <v>10.91863</v>
      </c>
      <c r="G502" s="6" t="n">
        <v>76.98461</v>
      </c>
      <c r="H502" s="6" t="n">
        <v>1</v>
      </c>
      <c r="I502" s="6" t="n">
        <v>45</v>
      </c>
      <c r="J502" s="6" t="s">
        <v>36</v>
      </c>
      <c r="K502" s="7" t="b">
        <f aca="false">FALSE()</f>
        <v>0</v>
      </c>
    </row>
    <row r="503" customFormat="false" ht="15" hidden="false" customHeight="false" outlineLevel="0" collapsed="false">
      <c r="A503" s="6" t="n">
        <v>311609</v>
      </c>
      <c r="B503" s="6" t="s">
        <v>819</v>
      </c>
      <c r="C503" s="6" t="s">
        <v>818</v>
      </c>
      <c r="D503" s="6" t="s">
        <v>753</v>
      </c>
      <c r="E503" s="6" t="s">
        <v>35</v>
      </c>
      <c r="F503" s="6" t="n">
        <v>11.00142</v>
      </c>
      <c r="G503" s="6" t="n">
        <v>77.06625</v>
      </c>
      <c r="H503" s="6" t="n">
        <v>1</v>
      </c>
      <c r="I503" s="6" t="n">
        <v>25</v>
      </c>
      <c r="J503" s="6" t="s">
        <v>36</v>
      </c>
      <c r="K503" s="7" t="b">
        <f aca="false">FALSE()</f>
        <v>0</v>
      </c>
    </row>
    <row r="504" customFormat="false" ht="15" hidden="false" customHeight="false" outlineLevel="0" collapsed="false">
      <c r="A504" s="6" t="n">
        <v>311608</v>
      </c>
      <c r="B504" s="6" t="s">
        <v>820</v>
      </c>
      <c r="C504" s="6" t="s">
        <v>818</v>
      </c>
      <c r="D504" s="6" t="s">
        <v>753</v>
      </c>
      <c r="E504" s="6" t="s">
        <v>35</v>
      </c>
      <c r="F504" s="6" t="n">
        <v>11.0028</v>
      </c>
      <c r="G504" s="6" t="n">
        <v>77.03874</v>
      </c>
      <c r="H504" s="6" t="n">
        <v>1</v>
      </c>
      <c r="I504" s="6" t="n">
        <v>30</v>
      </c>
      <c r="J504" s="6" t="s">
        <v>36</v>
      </c>
      <c r="K504" s="7" t="b">
        <f aca="false">FALSE()</f>
        <v>0</v>
      </c>
    </row>
    <row r="505" customFormat="false" ht="15" hidden="false" customHeight="false" outlineLevel="0" collapsed="false">
      <c r="A505" s="6" t="n">
        <v>311607</v>
      </c>
      <c r="B505" s="6" t="s">
        <v>821</v>
      </c>
      <c r="C505" s="6" t="s">
        <v>818</v>
      </c>
      <c r="D505" s="6" t="s">
        <v>753</v>
      </c>
      <c r="E505" s="6" t="s">
        <v>35</v>
      </c>
      <c r="F505" s="6" t="n">
        <v>11.05013</v>
      </c>
      <c r="G505" s="6" t="n">
        <v>77.05773</v>
      </c>
      <c r="H505" s="6" t="n">
        <v>1</v>
      </c>
      <c r="I505" s="6" t="n">
        <v>25</v>
      </c>
      <c r="J505" s="6" t="s">
        <v>36</v>
      </c>
      <c r="K505" s="7" t="b">
        <f aca="false">FALSE()</f>
        <v>0</v>
      </c>
    </row>
    <row r="506" customFormat="false" ht="15" hidden="false" customHeight="false" outlineLevel="0" collapsed="false">
      <c r="A506" s="6" t="n">
        <v>311606</v>
      </c>
      <c r="B506" s="6" t="s">
        <v>822</v>
      </c>
      <c r="C506" s="6" t="s">
        <v>818</v>
      </c>
      <c r="D506" s="6" t="s">
        <v>753</v>
      </c>
      <c r="E506" s="6" t="s">
        <v>35</v>
      </c>
      <c r="F506" s="6" t="n">
        <v>11.03623</v>
      </c>
      <c r="G506" s="6" t="n">
        <v>77.03736</v>
      </c>
      <c r="H506" s="6" t="n">
        <v>1</v>
      </c>
      <c r="I506" s="6" t="n">
        <v>30</v>
      </c>
      <c r="J506" s="6" t="s">
        <v>36</v>
      </c>
      <c r="K506" s="7" t="b">
        <f aca="false">FALSE()</f>
        <v>0</v>
      </c>
    </row>
    <row r="507" customFormat="false" ht="15" hidden="false" customHeight="false" outlineLevel="0" collapsed="false">
      <c r="A507" s="6" t="n">
        <v>311605</v>
      </c>
      <c r="B507" s="6" t="s">
        <v>823</v>
      </c>
      <c r="C507" s="6" t="s">
        <v>818</v>
      </c>
      <c r="D507" s="6" t="s">
        <v>753</v>
      </c>
      <c r="E507" s="6" t="s">
        <v>35</v>
      </c>
      <c r="F507" s="6" t="n">
        <v>11.02287</v>
      </c>
      <c r="G507" s="6" t="n">
        <v>76.99726</v>
      </c>
      <c r="H507" s="6" t="n">
        <v>1</v>
      </c>
      <c r="I507" s="6" t="n">
        <v>7.4</v>
      </c>
      <c r="J507" s="6" t="s">
        <v>126</v>
      </c>
      <c r="K507" s="7" t="b">
        <f aca="false">FALSE()</f>
        <v>0</v>
      </c>
    </row>
    <row r="508" customFormat="false" ht="15" hidden="false" customHeight="false" outlineLevel="0" collapsed="false">
      <c r="A508" s="6" t="n">
        <v>311604</v>
      </c>
      <c r="B508" s="6" t="s">
        <v>824</v>
      </c>
      <c r="C508" s="6" t="s">
        <v>818</v>
      </c>
      <c r="D508" s="6" t="s">
        <v>753</v>
      </c>
      <c r="E508" s="6" t="s">
        <v>35</v>
      </c>
      <c r="F508" s="6" t="n">
        <v>11.01434</v>
      </c>
      <c r="G508" s="6" t="n">
        <v>76.98979</v>
      </c>
      <c r="H508" s="6" t="n">
        <v>1</v>
      </c>
      <c r="I508" s="6" t="n">
        <v>30</v>
      </c>
      <c r="J508" s="6" t="s">
        <v>36</v>
      </c>
      <c r="K508" s="7" t="b">
        <f aca="false">FALSE()</f>
        <v>0</v>
      </c>
    </row>
    <row r="509" customFormat="false" ht="15" hidden="false" customHeight="false" outlineLevel="0" collapsed="false">
      <c r="A509" s="6" t="n">
        <v>311603</v>
      </c>
      <c r="B509" s="6" t="s">
        <v>825</v>
      </c>
      <c r="C509" s="6" t="s">
        <v>818</v>
      </c>
      <c r="D509" s="6" t="s">
        <v>753</v>
      </c>
      <c r="E509" s="6" t="s">
        <v>35</v>
      </c>
      <c r="F509" s="6" t="n">
        <v>11.01223</v>
      </c>
      <c r="G509" s="6" t="n">
        <v>76.98654</v>
      </c>
      <c r="H509" s="6" t="n">
        <v>1</v>
      </c>
      <c r="I509" s="6" t="n">
        <v>15</v>
      </c>
      <c r="J509" s="6" t="s">
        <v>756</v>
      </c>
      <c r="K509" s="7" t="b">
        <f aca="false">FALSE()</f>
        <v>0</v>
      </c>
    </row>
    <row r="510" customFormat="false" ht="15" hidden="false" customHeight="false" outlineLevel="0" collapsed="false">
      <c r="A510" s="6" t="n">
        <v>311602</v>
      </c>
      <c r="B510" s="6" t="s">
        <v>826</v>
      </c>
      <c r="C510" s="6" t="s">
        <v>818</v>
      </c>
      <c r="D510" s="6" t="s">
        <v>753</v>
      </c>
      <c r="E510" s="6" t="s">
        <v>35</v>
      </c>
      <c r="F510" s="6" t="n">
        <v>11.01157</v>
      </c>
      <c r="G510" s="6" t="n">
        <v>76.98444</v>
      </c>
      <c r="H510" s="6" t="n">
        <v>1</v>
      </c>
      <c r="I510" s="6" t="n">
        <v>30</v>
      </c>
      <c r="J510" s="6" t="s">
        <v>36</v>
      </c>
      <c r="K510" s="7" t="b">
        <f aca="false">FALSE()</f>
        <v>0</v>
      </c>
    </row>
    <row r="511" customFormat="false" ht="15" hidden="false" customHeight="false" outlineLevel="0" collapsed="false">
      <c r="A511" s="6" t="n">
        <v>311601</v>
      </c>
      <c r="B511" s="6" t="s">
        <v>827</v>
      </c>
      <c r="C511" s="6" t="s">
        <v>818</v>
      </c>
      <c r="D511" s="6" t="s">
        <v>753</v>
      </c>
      <c r="E511" s="6" t="s">
        <v>35</v>
      </c>
      <c r="F511" s="6" t="n">
        <v>11.0025</v>
      </c>
      <c r="G511" s="6" t="n">
        <v>76.97363</v>
      </c>
      <c r="H511" s="6" t="n">
        <v>1</v>
      </c>
      <c r="I511" s="6" t="n">
        <v>30</v>
      </c>
      <c r="J511" s="6" t="s">
        <v>36</v>
      </c>
      <c r="K511" s="7" t="b">
        <f aca="false">FALSE()</f>
        <v>0</v>
      </c>
    </row>
    <row r="512" customFormat="false" ht="15" hidden="false" customHeight="false" outlineLevel="0" collapsed="false">
      <c r="A512" s="6" t="n">
        <v>311600</v>
      </c>
      <c r="B512" s="6" t="s">
        <v>828</v>
      </c>
      <c r="C512" s="6" t="s">
        <v>818</v>
      </c>
      <c r="D512" s="6" t="s">
        <v>753</v>
      </c>
      <c r="E512" s="6" t="s">
        <v>35</v>
      </c>
      <c r="F512" s="6" t="n">
        <v>10.99713</v>
      </c>
      <c r="G512" s="6" t="n">
        <v>76.97389</v>
      </c>
      <c r="H512" s="6" t="n">
        <v>1</v>
      </c>
      <c r="I512" s="6" t="n">
        <v>60</v>
      </c>
      <c r="J512" s="6" t="s">
        <v>39</v>
      </c>
      <c r="K512" s="7" t="b">
        <f aca="false">TRUE()</f>
        <v>1</v>
      </c>
    </row>
    <row r="513" customFormat="false" ht="15" hidden="false" customHeight="false" outlineLevel="0" collapsed="false">
      <c r="A513" s="6" t="n">
        <v>311599</v>
      </c>
      <c r="B513" s="6" t="s">
        <v>829</v>
      </c>
      <c r="C513" s="6" t="s">
        <v>818</v>
      </c>
      <c r="D513" s="6" t="s">
        <v>753</v>
      </c>
      <c r="E513" s="6" t="s">
        <v>35</v>
      </c>
      <c r="F513" s="6" t="n">
        <v>11.00939</v>
      </c>
      <c r="G513" s="6" t="n">
        <v>76.95905</v>
      </c>
      <c r="H513" s="6" t="n">
        <v>8</v>
      </c>
      <c r="I513" s="6" t="n">
        <v>30</v>
      </c>
      <c r="J513" s="6" t="s">
        <v>36</v>
      </c>
      <c r="K513" s="7" t="b">
        <f aca="false">FALSE()</f>
        <v>0</v>
      </c>
    </row>
    <row r="514" customFormat="false" ht="15" hidden="false" customHeight="false" outlineLevel="0" collapsed="false">
      <c r="A514" s="6" t="n">
        <v>311598</v>
      </c>
      <c r="B514" s="6" t="s">
        <v>830</v>
      </c>
      <c r="C514" s="6" t="s">
        <v>818</v>
      </c>
      <c r="D514" s="6" t="s">
        <v>753</v>
      </c>
      <c r="E514" s="6" t="s">
        <v>35</v>
      </c>
      <c r="F514" s="6" t="n">
        <v>11.01695</v>
      </c>
      <c r="G514" s="6" t="n">
        <v>76.96566</v>
      </c>
      <c r="H514" s="6" t="n">
        <v>1</v>
      </c>
      <c r="I514" s="6" t="n">
        <v>50</v>
      </c>
      <c r="J514" s="6" t="s">
        <v>39</v>
      </c>
      <c r="K514" s="7" t="b">
        <f aca="false">TRUE()</f>
        <v>1</v>
      </c>
    </row>
    <row r="515" customFormat="false" ht="15" hidden="false" customHeight="false" outlineLevel="0" collapsed="false">
      <c r="A515" s="6" t="n">
        <v>311597</v>
      </c>
      <c r="B515" s="6" t="s">
        <v>831</v>
      </c>
      <c r="C515" s="6" t="s">
        <v>818</v>
      </c>
      <c r="D515" s="6" t="s">
        <v>753</v>
      </c>
      <c r="E515" s="6" t="s">
        <v>35</v>
      </c>
      <c r="F515" s="6" t="n">
        <v>11.08231</v>
      </c>
      <c r="G515" s="6" t="n">
        <v>76.98681</v>
      </c>
      <c r="H515" s="6" t="n">
        <v>1</v>
      </c>
      <c r="I515" s="6" t="n">
        <v>30</v>
      </c>
      <c r="J515" s="6" t="s">
        <v>36</v>
      </c>
      <c r="K515" s="7" t="b">
        <f aca="false">FALSE()</f>
        <v>0</v>
      </c>
    </row>
    <row r="516" customFormat="false" ht="15" hidden="false" customHeight="false" outlineLevel="0" collapsed="false">
      <c r="A516" s="6" t="n">
        <v>311596</v>
      </c>
      <c r="B516" s="6" t="s">
        <v>832</v>
      </c>
      <c r="C516" s="6" t="s">
        <v>833</v>
      </c>
      <c r="D516" s="6" t="s">
        <v>753</v>
      </c>
      <c r="E516" s="6" t="s">
        <v>35</v>
      </c>
      <c r="F516" s="6" t="n">
        <v>11.42336</v>
      </c>
      <c r="G516" s="6" t="n">
        <v>76.86669</v>
      </c>
      <c r="H516" s="6" t="n">
        <v>1</v>
      </c>
      <c r="I516" s="6" t="n">
        <v>15</v>
      </c>
      <c r="J516" s="6" t="s">
        <v>756</v>
      </c>
      <c r="K516" s="7" t="b">
        <f aca="false">FALSE()</f>
        <v>0</v>
      </c>
    </row>
    <row r="517" customFormat="false" ht="15" hidden="false" customHeight="false" outlineLevel="0" collapsed="false">
      <c r="A517" s="6" t="n">
        <v>311595</v>
      </c>
      <c r="B517" s="6" t="s">
        <v>834</v>
      </c>
      <c r="C517" s="6" t="s">
        <v>833</v>
      </c>
      <c r="D517" s="6" t="s">
        <v>753</v>
      </c>
      <c r="E517" s="6" t="s">
        <v>35</v>
      </c>
      <c r="F517" s="6" t="n">
        <v>11.42998</v>
      </c>
      <c r="G517" s="6" t="n">
        <v>76.86711</v>
      </c>
      <c r="H517" s="6" t="n">
        <v>1</v>
      </c>
      <c r="I517" s="6" t="n">
        <v>7.4</v>
      </c>
      <c r="J517" s="6" t="s">
        <v>126</v>
      </c>
      <c r="K517" s="7" t="b">
        <f aca="false">FALSE()</f>
        <v>0</v>
      </c>
    </row>
    <row r="518" customFormat="false" ht="15" hidden="false" customHeight="false" outlineLevel="0" collapsed="false">
      <c r="A518" s="6" t="n">
        <v>311594</v>
      </c>
      <c r="B518" s="6" t="s">
        <v>835</v>
      </c>
      <c r="C518" s="6" t="s">
        <v>836</v>
      </c>
      <c r="D518" s="6" t="s">
        <v>753</v>
      </c>
      <c r="E518" s="6" t="s">
        <v>35</v>
      </c>
      <c r="F518" s="6" t="n">
        <v>11.39974</v>
      </c>
      <c r="G518" s="6" t="n">
        <v>76.66623</v>
      </c>
      <c r="H518" s="6" t="n">
        <v>1</v>
      </c>
      <c r="I518" s="6" t="n">
        <v>7.4</v>
      </c>
      <c r="J518" s="6" t="s">
        <v>126</v>
      </c>
      <c r="K518" s="7" t="b">
        <f aca="false">FALSE()</f>
        <v>0</v>
      </c>
    </row>
    <row r="519" customFormat="false" ht="15" hidden="false" customHeight="false" outlineLevel="0" collapsed="false">
      <c r="A519" s="6" t="n">
        <v>311593</v>
      </c>
      <c r="B519" s="6" t="s">
        <v>837</v>
      </c>
      <c r="C519" s="6" t="s">
        <v>838</v>
      </c>
      <c r="D519" s="6" t="s">
        <v>753</v>
      </c>
      <c r="E519" s="6" t="s">
        <v>35</v>
      </c>
      <c r="F519" s="6" t="n">
        <v>11.49862</v>
      </c>
      <c r="G519" s="6" t="n">
        <v>76.49398</v>
      </c>
      <c r="H519" s="6" t="n">
        <v>1</v>
      </c>
      <c r="I519" s="6" t="n">
        <v>30</v>
      </c>
      <c r="J519" s="6" t="s">
        <v>36</v>
      </c>
      <c r="K519" s="7" t="b">
        <f aca="false">FALSE()</f>
        <v>0</v>
      </c>
    </row>
    <row r="520" customFormat="false" ht="15" hidden="false" customHeight="false" outlineLevel="0" collapsed="false">
      <c r="A520" s="6" t="n">
        <v>311580</v>
      </c>
      <c r="B520" s="6" t="s">
        <v>839</v>
      </c>
      <c r="C520" s="6" t="s">
        <v>840</v>
      </c>
      <c r="D520" s="6" t="s">
        <v>753</v>
      </c>
      <c r="E520" s="6" t="s">
        <v>35</v>
      </c>
      <c r="F520" s="6" t="n">
        <v>9.78446</v>
      </c>
      <c r="G520" s="6" t="n">
        <v>78.094274</v>
      </c>
      <c r="H520" s="6" t="n">
        <v>1</v>
      </c>
      <c r="I520" s="6" t="n">
        <v>30</v>
      </c>
      <c r="J520" s="6" t="s">
        <v>36</v>
      </c>
      <c r="K520" s="7" t="b">
        <f aca="false">FALSE()</f>
        <v>0</v>
      </c>
    </row>
    <row r="521" customFormat="false" ht="15" hidden="false" customHeight="false" outlineLevel="0" collapsed="false">
      <c r="A521" s="6" t="n">
        <v>311561</v>
      </c>
      <c r="B521" s="6" t="s">
        <v>841</v>
      </c>
      <c r="C521" s="6" t="s">
        <v>842</v>
      </c>
      <c r="D521" s="6" t="s">
        <v>753</v>
      </c>
      <c r="E521" s="6" t="s">
        <v>35</v>
      </c>
      <c r="F521" s="6" t="n">
        <v>9.28468</v>
      </c>
      <c r="G521" s="6" t="n">
        <v>79.29506</v>
      </c>
      <c r="H521" s="6" t="n">
        <v>1</v>
      </c>
      <c r="I521" s="6" t="n">
        <v>22</v>
      </c>
      <c r="J521" s="6" t="s">
        <v>36</v>
      </c>
      <c r="K521" s="7" t="b">
        <f aca="false">FALSE()</f>
        <v>0</v>
      </c>
    </row>
    <row r="522" customFormat="false" ht="15" hidden="false" customHeight="false" outlineLevel="0" collapsed="false">
      <c r="A522" s="6" t="n">
        <v>311560</v>
      </c>
      <c r="B522" s="6" t="s">
        <v>843</v>
      </c>
      <c r="C522" s="6" t="s">
        <v>844</v>
      </c>
      <c r="D522" s="6" t="s">
        <v>753</v>
      </c>
      <c r="E522" s="6" t="s">
        <v>35</v>
      </c>
      <c r="F522" s="6" t="n">
        <v>9.28616</v>
      </c>
      <c r="G522" s="6" t="n">
        <v>79.27707</v>
      </c>
      <c r="H522" s="6" t="n">
        <v>1</v>
      </c>
      <c r="I522" s="6" t="n">
        <v>25</v>
      </c>
      <c r="J522" s="6" t="s">
        <v>36</v>
      </c>
      <c r="K522" s="7" t="b">
        <f aca="false">FALSE()</f>
        <v>0</v>
      </c>
    </row>
    <row r="523" customFormat="false" ht="15" hidden="false" customHeight="false" outlineLevel="0" collapsed="false">
      <c r="A523" s="6" t="n">
        <v>311559</v>
      </c>
      <c r="B523" s="6" t="s">
        <v>845</v>
      </c>
      <c r="C523" s="6" t="s">
        <v>846</v>
      </c>
      <c r="D523" s="6" t="s">
        <v>753</v>
      </c>
      <c r="E523" s="6" t="s">
        <v>35</v>
      </c>
      <c r="F523" s="6" t="n">
        <v>9.35021</v>
      </c>
      <c r="G523" s="6" t="n">
        <v>78.88531</v>
      </c>
      <c r="H523" s="6" t="n">
        <v>1</v>
      </c>
      <c r="I523" s="6" t="n">
        <v>7.4</v>
      </c>
      <c r="J523" s="6" t="s">
        <v>126</v>
      </c>
      <c r="K523" s="7" t="b">
        <f aca="false">FALSE()</f>
        <v>0</v>
      </c>
    </row>
    <row r="524" customFormat="false" ht="15" hidden="false" customHeight="false" outlineLevel="0" collapsed="false">
      <c r="A524" s="6" t="n">
        <v>311558</v>
      </c>
      <c r="B524" s="6" t="s">
        <v>847</v>
      </c>
      <c r="C524" s="6" t="s">
        <v>848</v>
      </c>
      <c r="D524" s="6" t="s">
        <v>753</v>
      </c>
      <c r="E524" s="6" t="s">
        <v>35</v>
      </c>
      <c r="F524" s="6" t="n">
        <v>9.3909</v>
      </c>
      <c r="G524" s="6" t="n">
        <v>78.8514</v>
      </c>
      <c r="H524" s="6" t="n">
        <v>1</v>
      </c>
      <c r="I524" s="6" t="n">
        <v>30</v>
      </c>
      <c r="J524" s="6" t="s">
        <v>36</v>
      </c>
      <c r="K524" s="7" t="b">
        <f aca="false">FALSE()</f>
        <v>0</v>
      </c>
    </row>
    <row r="525" customFormat="false" ht="15" hidden="false" customHeight="false" outlineLevel="0" collapsed="false">
      <c r="A525" s="6" t="n">
        <v>311557</v>
      </c>
      <c r="B525" s="6" t="s">
        <v>849</v>
      </c>
      <c r="C525" s="6" t="s">
        <v>848</v>
      </c>
      <c r="D525" s="6" t="s">
        <v>753</v>
      </c>
      <c r="E525" s="6" t="s">
        <v>35</v>
      </c>
      <c r="F525" s="6" t="n">
        <v>9.36109</v>
      </c>
      <c r="G525" s="6" t="n">
        <v>78.84638</v>
      </c>
      <c r="H525" s="6" t="n">
        <v>1</v>
      </c>
      <c r="I525" s="6" t="n">
        <v>22</v>
      </c>
      <c r="J525" s="6" t="s">
        <v>36</v>
      </c>
      <c r="K525" s="7" t="b">
        <f aca="false">FALSE()</f>
        <v>0</v>
      </c>
    </row>
    <row r="526" customFormat="false" ht="15" hidden="false" customHeight="false" outlineLevel="0" collapsed="false">
      <c r="A526" s="6" t="n">
        <v>311556</v>
      </c>
      <c r="B526" s="6" t="s">
        <v>850</v>
      </c>
      <c r="C526" s="6" t="s">
        <v>848</v>
      </c>
      <c r="D526" s="6" t="s">
        <v>753</v>
      </c>
      <c r="E526" s="6" t="s">
        <v>35</v>
      </c>
      <c r="F526" s="6" t="n">
        <v>9.35954</v>
      </c>
      <c r="G526" s="6" t="n">
        <v>78.83801</v>
      </c>
      <c r="H526" s="6" t="n">
        <v>1</v>
      </c>
      <c r="I526" s="6" t="n">
        <v>7.4</v>
      </c>
      <c r="J526" s="6" t="s">
        <v>126</v>
      </c>
      <c r="K526" s="7" t="b">
        <f aca="false">FALSE()</f>
        <v>0</v>
      </c>
    </row>
    <row r="527" customFormat="false" ht="15" hidden="false" customHeight="false" outlineLevel="0" collapsed="false">
      <c r="A527" s="6" t="n">
        <v>311555</v>
      </c>
      <c r="B527" s="6" t="s">
        <v>851</v>
      </c>
      <c r="C527" s="6" t="s">
        <v>848</v>
      </c>
      <c r="D527" s="6" t="s">
        <v>753</v>
      </c>
      <c r="E527" s="6" t="s">
        <v>35</v>
      </c>
      <c r="F527" s="6" t="n">
        <v>9.36718</v>
      </c>
      <c r="G527" s="6" t="n">
        <v>78.8099</v>
      </c>
      <c r="H527" s="6" t="n">
        <v>1</v>
      </c>
      <c r="I527" s="6" t="n">
        <v>25</v>
      </c>
      <c r="J527" s="6" t="s">
        <v>36</v>
      </c>
      <c r="K527" s="7" t="b">
        <f aca="false">FALSE()</f>
        <v>0</v>
      </c>
    </row>
    <row r="528" customFormat="false" ht="15" hidden="false" customHeight="false" outlineLevel="0" collapsed="false">
      <c r="A528" s="6" t="n">
        <v>311554</v>
      </c>
      <c r="B528" s="6" t="s">
        <v>852</v>
      </c>
      <c r="C528" s="6" t="s">
        <v>853</v>
      </c>
      <c r="D528" s="6" t="s">
        <v>753</v>
      </c>
      <c r="E528" s="6" t="s">
        <v>35</v>
      </c>
      <c r="F528" s="6" t="n">
        <v>9.68846</v>
      </c>
      <c r="G528" s="6" t="n">
        <v>78.44998</v>
      </c>
      <c r="H528" s="6" t="n">
        <v>1</v>
      </c>
      <c r="I528" s="6" t="n">
        <v>30</v>
      </c>
      <c r="J528" s="6" t="s">
        <v>36</v>
      </c>
      <c r="K528" s="7" t="b">
        <f aca="false">FALSE()</f>
        <v>0</v>
      </c>
    </row>
    <row r="529" customFormat="false" ht="15" hidden="false" customHeight="false" outlineLevel="0" collapsed="false">
      <c r="A529" s="6" t="n">
        <v>311553</v>
      </c>
      <c r="B529" s="6" t="s">
        <v>854</v>
      </c>
      <c r="C529" s="6" t="s">
        <v>855</v>
      </c>
      <c r="D529" s="6" t="s">
        <v>753</v>
      </c>
      <c r="E529" s="6" t="s">
        <v>35</v>
      </c>
      <c r="F529" s="6" t="n">
        <v>9.81293</v>
      </c>
      <c r="G529" s="6" t="n">
        <v>78.26301</v>
      </c>
      <c r="H529" s="6" t="n">
        <v>1</v>
      </c>
      <c r="I529" s="6" t="n">
        <v>30</v>
      </c>
      <c r="J529" s="6" t="s">
        <v>36</v>
      </c>
      <c r="K529" s="7" t="b">
        <f aca="false">FALSE()</f>
        <v>0</v>
      </c>
    </row>
    <row r="530" customFormat="false" ht="15" hidden="false" customHeight="false" outlineLevel="0" collapsed="false">
      <c r="A530" s="6" t="n">
        <v>311552</v>
      </c>
      <c r="B530" s="6" t="s">
        <v>856</v>
      </c>
      <c r="C530" s="6" t="s">
        <v>857</v>
      </c>
      <c r="D530" s="6" t="s">
        <v>753</v>
      </c>
      <c r="E530" s="6" t="s">
        <v>35</v>
      </c>
      <c r="F530" s="6" t="n">
        <v>9.84301</v>
      </c>
      <c r="G530" s="6" t="n">
        <v>78.10406</v>
      </c>
      <c r="H530" s="6" t="n">
        <v>1</v>
      </c>
      <c r="I530" s="6" t="n">
        <v>30</v>
      </c>
      <c r="J530" s="6" t="s">
        <v>36</v>
      </c>
      <c r="K530" s="7" t="b">
        <f aca="false">FALSE()</f>
        <v>0</v>
      </c>
    </row>
    <row r="531" customFormat="false" ht="15" hidden="false" customHeight="false" outlineLevel="0" collapsed="false">
      <c r="A531" s="6" t="n">
        <v>311551</v>
      </c>
      <c r="B531" s="6" t="s">
        <v>858</v>
      </c>
      <c r="C531" s="6" t="s">
        <v>857</v>
      </c>
      <c r="D531" s="6" t="s">
        <v>753</v>
      </c>
      <c r="E531" s="6" t="s">
        <v>35</v>
      </c>
      <c r="F531" s="6" t="n">
        <v>9.84111</v>
      </c>
      <c r="G531" s="6" t="n">
        <v>78.10481</v>
      </c>
      <c r="H531" s="6" t="n">
        <v>1</v>
      </c>
      <c r="I531" s="6" t="n">
        <v>30</v>
      </c>
      <c r="J531" s="6" t="s">
        <v>36</v>
      </c>
      <c r="K531" s="7" t="b">
        <f aca="false">FALSE()</f>
        <v>0</v>
      </c>
    </row>
    <row r="532" customFormat="false" ht="15" hidden="false" customHeight="false" outlineLevel="0" collapsed="false">
      <c r="A532" s="6" t="n">
        <v>311550</v>
      </c>
      <c r="B532" s="6" t="s">
        <v>859</v>
      </c>
      <c r="C532" s="6" t="s">
        <v>857</v>
      </c>
      <c r="D532" s="6" t="s">
        <v>753</v>
      </c>
      <c r="E532" s="6" t="s">
        <v>35</v>
      </c>
      <c r="F532" s="6" t="n">
        <v>9.86373</v>
      </c>
      <c r="G532" s="6" t="n">
        <v>78.12427</v>
      </c>
      <c r="H532" s="6" t="n">
        <v>1</v>
      </c>
      <c r="I532" s="6" t="n">
        <v>30</v>
      </c>
      <c r="J532" s="6" t="s">
        <v>36</v>
      </c>
      <c r="K532" s="7" t="b">
        <f aca="false">FALSE()</f>
        <v>0</v>
      </c>
    </row>
    <row r="533" customFormat="false" ht="15" hidden="false" customHeight="false" outlineLevel="0" collapsed="false">
      <c r="A533" s="6" t="n">
        <v>311549</v>
      </c>
      <c r="B533" s="6" t="s">
        <v>860</v>
      </c>
      <c r="C533" s="6" t="s">
        <v>857</v>
      </c>
      <c r="D533" s="6" t="s">
        <v>753</v>
      </c>
      <c r="E533" s="6" t="s">
        <v>35</v>
      </c>
      <c r="F533" s="6" t="n">
        <v>9.9017</v>
      </c>
      <c r="G533" s="6" t="n">
        <v>78.04536</v>
      </c>
      <c r="H533" s="6" t="n">
        <v>1</v>
      </c>
      <c r="I533" s="6" t="n">
        <v>25</v>
      </c>
      <c r="J533" s="6" t="s">
        <v>36</v>
      </c>
      <c r="K533" s="7" t="b">
        <f aca="false">FALSE()</f>
        <v>0</v>
      </c>
    </row>
    <row r="534" customFormat="false" ht="15" hidden="false" customHeight="false" outlineLevel="0" collapsed="false">
      <c r="A534" s="6" t="n">
        <v>311548</v>
      </c>
      <c r="B534" s="6" t="s">
        <v>861</v>
      </c>
      <c r="C534" s="6" t="s">
        <v>857</v>
      </c>
      <c r="D534" s="6" t="s">
        <v>753</v>
      </c>
      <c r="E534" s="6" t="s">
        <v>35</v>
      </c>
      <c r="F534" s="6" t="n">
        <v>9.89713</v>
      </c>
      <c r="G534" s="6" t="n">
        <v>78.08755</v>
      </c>
      <c r="H534" s="6" t="n">
        <v>1</v>
      </c>
      <c r="I534" s="6" t="n">
        <v>30</v>
      </c>
      <c r="J534" s="6" t="s">
        <v>36</v>
      </c>
      <c r="K534" s="7" t="b">
        <f aca="false">FALSE()</f>
        <v>0</v>
      </c>
    </row>
    <row r="535" customFormat="false" ht="15" hidden="false" customHeight="false" outlineLevel="0" collapsed="false">
      <c r="A535" s="6" t="n">
        <v>311547</v>
      </c>
      <c r="B535" s="6" t="s">
        <v>862</v>
      </c>
      <c r="C535" s="6" t="s">
        <v>857</v>
      </c>
      <c r="D535" s="6" t="s">
        <v>753</v>
      </c>
      <c r="E535" s="6" t="s">
        <v>35</v>
      </c>
      <c r="F535" s="6" t="n">
        <v>9.91161</v>
      </c>
      <c r="G535" s="6" t="n">
        <v>78.09279</v>
      </c>
      <c r="H535" s="6" t="n">
        <v>1</v>
      </c>
      <c r="I535" s="6" t="n">
        <v>30</v>
      </c>
      <c r="J535" s="6" t="s">
        <v>36</v>
      </c>
      <c r="K535" s="7" t="b">
        <f aca="false">FALSE()</f>
        <v>0</v>
      </c>
    </row>
    <row r="536" customFormat="false" ht="15" hidden="false" customHeight="false" outlineLevel="0" collapsed="false">
      <c r="A536" s="6" t="n">
        <v>311546</v>
      </c>
      <c r="B536" s="6" t="s">
        <v>863</v>
      </c>
      <c r="C536" s="6" t="s">
        <v>857</v>
      </c>
      <c r="D536" s="6" t="s">
        <v>753</v>
      </c>
      <c r="E536" s="6" t="s">
        <v>35</v>
      </c>
      <c r="F536" s="6" t="n">
        <v>9.886214</v>
      </c>
      <c r="G536" s="6" t="n">
        <v>78.151322</v>
      </c>
      <c r="H536" s="6" t="n">
        <v>1</v>
      </c>
      <c r="I536" s="6" t="n">
        <v>30</v>
      </c>
      <c r="J536" s="6" t="s">
        <v>36</v>
      </c>
      <c r="K536" s="7" t="b">
        <f aca="false">FALSE()</f>
        <v>0</v>
      </c>
    </row>
    <row r="537" customFormat="false" ht="15" hidden="false" customHeight="false" outlineLevel="0" collapsed="false">
      <c r="A537" s="6" t="n">
        <v>311545</v>
      </c>
      <c r="B537" s="6" t="s">
        <v>864</v>
      </c>
      <c r="C537" s="6" t="s">
        <v>857</v>
      </c>
      <c r="D537" s="6" t="s">
        <v>753</v>
      </c>
      <c r="E537" s="6" t="s">
        <v>35</v>
      </c>
      <c r="F537" s="6" t="n">
        <v>9.886238</v>
      </c>
      <c r="G537" s="6" t="n">
        <v>78.150582</v>
      </c>
      <c r="H537" s="6" t="n">
        <v>1</v>
      </c>
      <c r="I537" s="6" t="n">
        <v>24</v>
      </c>
      <c r="J537" s="6" t="s">
        <v>36</v>
      </c>
      <c r="K537" s="7" t="b">
        <f aca="false">FALSE()</f>
        <v>0</v>
      </c>
    </row>
    <row r="538" customFormat="false" ht="15" hidden="false" customHeight="false" outlineLevel="0" collapsed="false">
      <c r="A538" s="6" t="n">
        <v>311544</v>
      </c>
      <c r="B538" s="6" t="s">
        <v>865</v>
      </c>
      <c r="C538" s="6" t="s">
        <v>857</v>
      </c>
      <c r="D538" s="6" t="s">
        <v>753</v>
      </c>
      <c r="E538" s="6" t="s">
        <v>35</v>
      </c>
      <c r="F538" s="6" t="n">
        <v>9.885732</v>
      </c>
      <c r="G538" s="6" t="n">
        <v>78.148628</v>
      </c>
      <c r="H538" s="6" t="n">
        <v>1</v>
      </c>
      <c r="I538" s="6" t="n">
        <v>60</v>
      </c>
      <c r="J538" s="6" t="s">
        <v>39</v>
      </c>
      <c r="K538" s="7" t="b">
        <f aca="false">TRUE()</f>
        <v>1</v>
      </c>
    </row>
    <row r="539" customFormat="false" ht="15" hidden="false" customHeight="false" outlineLevel="0" collapsed="false">
      <c r="A539" s="6" t="n">
        <v>311543</v>
      </c>
      <c r="B539" s="6" t="s">
        <v>866</v>
      </c>
      <c r="C539" s="6" t="s">
        <v>857</v>
      </c>
      <c r="D539" s="6" t="s">
        <v>753</v>
      </c>
      <c r="E539" s="6" t="s">
        <v>35</v>
      </c>
      <c r="F539" s="6" t="n">
        <v>9.904912</v>
      </c>
      <c r="G539" s="6" t="n">
        <v>78.096602</v>
      </c>
      <c r="H539" s="6" t="n">
        <v>1</v>
      </c>
      <c r="I539" s="6" t="n">
        <v>24</v>
      </c>
      <c r="J539" s="6" t="s">
        <v>36</v>
      </c>
      <c r="K539" s="7" t="b">
        <f aca="false">FALSE()</f>
        <v>0</v>
      </c>
    </row>
    <row r="540" customFormat="false" ht="15" hidden="false" customHeight="false" outlineLevel="0" collapsed="false">
      <c r="A540" s="6" t="n">
        <v>311542</v>
      </c>
      <c r="B540" s="6" t="s">
        <v>867</v>
      </c>
      <c r="C540" s="6" t="s">
        <v>857</v>
      </c>
      <c r="D540" s="6" t="s">
        <v>753</v>
      </c>
      <c r="E540" s="6" t="s">
        <v>35</v>
      </c>
      <c r="F540" s="6" t="n">
        <v>9.937169</v>
      </c>
      <c r="G540" s="6" t="n">
        <v>78.132689</v>
      </c>
      <c r="H540" s="6" t="n">
        <v>1</v>
      </c>
      <c r="I540" s="6" t="n">
        <v>50</v>
      </c>
      <c r="J540" s="6" t="s">
        <v>39</v>
      </c>
      <c r="K540" s="7" t="b">
        <f aca="false">TRUE()</f>
        <v>1</v>
      </c>
    </row>
    <row r="541" customFormat="false" ht="15" hidden="false" customHeight="false" outlineLevel="0" collapsed="false">
      <c r="A541" s="6" t="n">
        <v>311541</v>
      </c>
      <c r="B541" s="6" t="s">
        <v>868</v>
      </c>
      <c r="C541" s="6" t="s">
        <v>857</v>
      </c>
      <c r="D541" s="6" t="s">
        <v>753</v>
      </c>
      <c r="E541" s="6" t="s">
        <v>35</v>
      </c>
      <c r="F541" s="6" t="n">
        <v>9.941092</v>
      </c>
      <c r="G541" s="6" t="n">
        <v>78.139465</v>
      </c>
      <c r="H541" s="6" t="n">
        <v>1</v>
      </c>
      <c r="I541" s="6" t="n">
        <v>30</v>
      </c>
      <c r="J541" s="6" t="s">
        <v>36</v>
      </c>
      <c r="K541" s="7" t="b">
        <f aca="false">FALSE()</f>
        <v>0</v>
      </c>
    </row>
    <row r="542" customFormat="false" ht="15" hidden="false" customHeight="false" outlineLevel="0" collapsed="false">
      <c r="A542" s="6" t="n">
        <v>311540</v>
      </c>
      <c r="B542" s="6" t="s">
        <v>869</v>
      </c>
      <c r="C542" s="6" t="s">
        <v>870</v>
      </c>
      <c r="D542" s="6" t="s">
        <v>753</v>
      </c>
      <c r="E542" s="6" t="s">
        <v>35</v>
      </c>
      <c r="F542" s="6" t="n">
        <v>11.66543</v>
      </c>
      <c r="G542" s="6" t="n">
        <v>78.14509</v>
      </c>
      <c r="H542" s="6" t="n">
        <v>1</v>
      </c>
      <c r="I542" s="6" t="n">
        <v>7.4</v>
      </c>
      <c r="J542" s="6" t="s">
        <v>126</v>
      </c>
      <c r="K542" s="7" t="b">
        <f aca="false">FALSE()</f>
        <v>0</v>
      </c>
    </row>
    <row r="543" customFormat="false" ht="15" hidden="false" customHeight="false" outlineLevel="0" collapsed="false">
      <c r="A543" s="6" t="n">
        <v>311539</v>
      </c>
      <c r="B543" s="6" t="s">
        <v>871</v>
      </c>
      <c r="C543" s="6" t="s">
        <v>857</v>
      </c>
      <c r="D543" s="6" t="s">
        <v>753</v>
      </c>
      <c r="E543" s="6" t="s">
        <v>35</v>
      </c>
      <c r="F543" s="6" t="n">
        <v>9.96434</v>
      </c>
      <c r="G543" s="6" t="n">
        <v>78.06483</v>
      </c>
      <c r="H543" s="6" t="n">
        <v>1</v>
      </c>
      <c r="I543" s="6" t="n">
        <v>30</v>
      </c>
      <c r="J543" s="6" t="s">
        <v>36</v>
      </c>
      <c r="K543" s="7" t="b">
        <f aca="false">FALSE()</f>
        <v>0</v>
      </c>
    </row>
    <row r="544" customFormat="false" ht="15" hidden="false" customHeight="false" outlineLevel="0" collapsed="false">
      <c r="A544" s="6" t="n">
        <v>311538</v>
      </c>
      <c r="B544" s="6" t="s">
        <v>872</v>
      </c>
      <c r="C544" s="6" t="s">
        <v>873</v>
      </c>
      <c r="D544" s="6" t="s">
        <v>753</v>
      </c>
      <c r="E544" s="6" t="s">
        <v>35</v>
      </c>
      <c r="F544" s="6" t="n">
        <v>10.0124</v>
      </c>
      <c r="G544" s="6" t="n">
        <v>78.01737</v>
      </c>
      <c r="H544" s="6" t="n">
        <v>1</v>
      </c>
      <c r="I544" s="6" t="n">
        <v>75</v>
      </c>
      <c r="J544" s="6" t="s">
        <v>39</v>
      </c>
      <c r="K544" s="7" t="b">
        <f aca="false">TRUE()</f>
        <v>1</v>
      </c>
    </row>
    <row r="545" customFormat="false" ht="15" hidden="false" customHeight="false" outlineLevel="0" collapsed="false">
      <c r="A545" s="6" t="n">
        <v>311537</v>
      </c>
      <c r="B545" s="6" t="s">
        <v>874</v>
      </c>
      <c r="C545" s="6" t="s">
        <v>875</v>
      </c>
      <c r="D545" s="6" t="s">
        <v>753</v>
      </c>
      <c r="E545" s="6" t="s">
        <v>35</v>
      </c>
      <c r="F545" s="6" t="n">
        <v>10.07991</v>
      </c>
      <c r="G545" s="6" t="n">
        <v>77.97778</v>
      </c>
      <c r="H545" s="6" t="n">
        <v>1</v>
      </c>
      <c r="I545" s="6" t="n">
        <v>50</v>
      </c>
      <c r="J545" s="6" t="s">
        <v>39</v>
      </c>
      <c r="K545" s="7" t="b">
        <f aca="false">TRUE()</f>
        <v>1</v>
      </c>
    </row>
    <row r="546" customFormat="false" ht="15" hidden="false" customHeight="false" outlineLevel="0" collapsed="false">
      <c r="A546" s="6" t="n">
        <v>311536</v>
      </c>
      <c r="B546" s="6" t="s">
        <v>876</v>
      </c>
      <c r="C546" s="6" t="s">
        <v>877</v>
      </c>
      <c r="D546" s="6" t="s">
        <v>753</v>
      </c>
      <c r="E546" s="6" t="s">
        <v>35</v>
      </c>
      <c r="F546" s="6" t="n">
        <v>10.11237</v>
      </c>
      <c r="G546" s="6" t="n">
        <v>77.93769</v>
      </c>
      <c r="H546" s="6" t="n">
        <v>1</v>
      </c>
      <c r="I546" s="6" t="n">
        <v>30</v>
      </c>
      <c r="J546" s="6" t="s">
        <v>36</v>
      </c>
      <c r="K546" s="7" t="b">
        <f aca="false">FALSE()</f>
        <v>0</v>
      </c>
    </row>
    <row r="547" customFormat="false" ht="15" hidden="false" customHeight="false" outlineLevel="0" collapsed="false">
      <c r="A547" s="6" t="n">
        <v>311535</v>
      </c>
      <c r="B547" s="6" t="s">
        <v>878</v>
      </c>
      <c r="C547" s="6" t="s">
        <v>879</v>
      </c>
      <c r="D547" s="6" t="s">
        <v>753</v>
      </c>
      <c r="E547" s="6" t="s">
        <v>35</v>
      </c>
      <c r="F547" s="6" t="n">
        <v>10.2998</v>
      </c>
      <c r="G547" s="6" t="n">
        <v>77.9413</v>
      </c>
      <c r="H547" s="6" t="n">
        <v>1</v>
      </c>
      <c r="I547" s="6" t="n">
        <v>30</v>
      </c>
      <c r="J547" s="6" t="s">
        <v>36</v>
      </c>
      <c r="K547" s="7" t="b">
        <f aca="false">FALSE()</f>
        <v>0</v>
      </c>
    </row>
    <row r="548" customFormat="false" ht="15" hidden="false" customHeight="false" outlineLevel="0" collapsed="false">
      <c r="A548" s="6" t="n">
        <v>311534</v>
      </c>
      <c r="B548" s="6" t="s">
        <v>880</v>
      </c>
      <c r="C548" s="6" t="s">
        <v>881</v>
      </c>
      <c r="D548" s="6" t="s">
        <v>753</v>
      </c>
      <c r="E548" s="6" t="s">
        <v>35</v>
      </c>
      <c r="F548" s="6" t="n">
        <v>10.33668</v>
      </c>
      <c r="G548" s="6" t="n">
        <v>77.95701</v>
      </c>
      <c r="H548" s="6" t="n">
        <v>1</v>
      </c>
      <c r="I548" s="6" t="n">
        <v>30</v>
      </c>
      <c r="J548" s="6" t="s">
        <v>36</v>
      </c>
      <c r="K548" s="7" t="b">
        <f aca="false">FALSE()</f>
        <v>0</v>
      </c>
    </row>
    <row r="549" customFormat="false" ht="15" hidden="false" customHeight="false" outlineLevel="0" collapsed="false">
      <c r="A549" s="6" t="n">
        <v>311532</v>
      </c>
      <c r="B549" s="6" t="s">
        <v>882</v>
      </c>
      <c r="C549" s="6" t="s">
        <v>881</v>
      </c>
      <c r="D549" s="6" t="s">
        <v>753</v>
      </c>
      <c r="E549" s="6" t="s">
        <v>35</v>
      </c>
      <c r="F549" s="6" t="n">
        <v>10.3741</v>
      </c>
      <c r="G549" s="6" t="n">
        <v>77.96772</v>
      </c>
      <c r="H549" s="6" t="n">
        <v>1</v>
      </c>
      <c r="I549" s="6" t="n">
        <v>25</v>
      </c>
      <c r="J549" s="6" t="s">
        <v>36</v>
      </c>
      <c r="K549" s="7" t="b">
        <f aca="false">FALSE()</f>
        <v>0</v>
      </c>
    </row>
    <row r="550" customFormat="false" ht="15" hidden="false" customHeight="false" outlineLevel="0" collapsed="false">
      <c r="A550" s="6" t="n">
        <v>311531</v>
      </c>
      <c r="B550" s="6" t="s">
        <v>883</v>
      </c>
      <c r="C550" s="6" t="s">
        <v>884</v>
      </c>
      <c r="D550" s="6" t="s">
        <v>753</v>
      </c>
      <c r="E550" s="6" t="s">
        <v>35</v>
      </c>
      <c r="F550" s="6" t="n">
        <v>10.38031</v>
      </c>
      <c r="G550" s="6" t="n">
        <v>77.99536</v>
      </c>
      <c r="H550" s="6" t="n">
        <v>1</v>
      </c>
      <c r="I550" s="6" t="n">
        <v>60</v>
      </c>
      <c r="J550" s="6" t="s">
        <v>39</v>
      </c>
      <c r="K550" s="7" t="b">
        <f aca="false">TRUE()</f>
        <v>1</v>
      </c>
    </row>
    <row r="551" customFormat="false" ht="15" hidden="false" customHeight="false" outlineLevel="0" collapsed="false">
      <c r="A551" s="6" t="n">
        <v>311530</v>
      </c>
      <c r="B551" s="6" t="s">
        <v>885</v>
      </c>
      <c r="C551" s="6" t="s">
        <v>881</v>
      </c>
      <c r="D551" s="6" t="s">
        <v>753</v>
      </c>
      <c r="E551" s="6" t="s">
        <v>35</v>
      </c>
      <c r="F551" s="6" t="n">
        <v>10.386</v>
      </c>
      <c r="G551" s="6" t="n">
        <v>77.96756</v>
      </c>
      <c r="H551" s="6" t="n">
        <v>1</v>
      </c>
      <c r="I551" s="6" t="n">
        <v>60</v>
      </c>
      <c r="J551" s="6" t="s">
        <v>39</v>
      </c>
      <c r="K551" s="7" t="b">
        <f aca="false">TRUE()</f>
        <v>1</v>
      </c>
    </row>
    <row r="552" customFormat="false" ht="15" hidden="false" customHeight="false" outlineLevel="0" collapsed="false">
      <c r="A552" s="6" t="n">
        <v>311529</v>
      </c>
      <c r="B552" s="6" t="s">
        <v>886</v>
      </c>
      <c r="C552" s="6" t="s">
        <v>887</v>
      </c>
      <c r="D552" s="6" t="s">
        <v>753</v>
      </c>
      <c r="E552" s="6" t="s">
        <v>35</v>
      </c>
      <c r="F552" s="6" t="n">
        <v>10.42633</v>
      </c>
      <c r="G552" s="6" t="n">
        <v>77.95391</v>
      </c>
      <c r="H552" s="6" t="n">
        <v>1</v>
      </c>
      <c r="I552" s="6" t="n">
        <v>30</v>
      </c>
      <c r="J552" s="6" t="s">
        <v>36</v>
      </c>
      <c r="K552" s="7" t="b">
        <f aca="false">FALSE()</f>
        <v>0</v>
      </c>
    </row>
    <row r="553" customFormat="false" ht="15" hidden="false" customHeight="false" outlineLevel="0" collapsed="false">
      <c r="A553" s="6" t="n">
        <v>311528</v>
      </c>
      <c r="B553" s="6" t="s">
        <v>888</v>
      </c>
      <c r="C553" s="6" t="s">
        <v>887</v>
      </c>
      <c r="D553" s="6" t="s">
        <v>753</v>
      </c>
      <c r="E553" s="6" t="s">
        <v>35</v>
      </c>
      <c r="F553" s="6" t="n">
        <v>10.42743</v>
      </c>
      <c r="G553" s="6" t="n">
        <v>77.95434</v>
      </c>
      <c r="H553" s="6" t="n">
        <v>1</v>
      </c>
      <c r="I553" s="6" t="n">
        <v>30</v>
      </c>
      <c r="J553" s="6" t="s">
        <v>36</v>
      </c>
      <c r="K553" s="7" t="b">
        <f aca="false">FALSE()</f>
        <v>0</v>
      </c>
    </row>
    <row r="554" customFormat="false" ht="15" hidden="false" customHeight="false" outlineLevel="0" collapsed="false">
      <c r="A554" s="6" t="n">
        <v>311527</v>
      </c>
      <c r="B554" s="6" t="s">
        <v>880</v>
      </c>
      <c r="C554" s="6" t="s">
        <v>889</v>
      </c>
      <c r="D554" s="6" t="s">
        <v>753</v>
      </c>
      <c r="E554" s="6" t="s">
        <v>35</v>
      </c>
      <c r="F554" s="6" t="n">
        <v>10.95696</v>
      </c>
      <c r="G554" s="6" t="n">
        <v>77.85174</v>
      </c>
      <c r="H554" s="6" t="n">
        <v>1</v>
      </c>
      <c r="I554" s="6" t="n">
        <v>30</v>
      </c>
      <c r="J554" s="6" t="s">
        <v>36</v>
      </c>
      <c r="K554" s="7" t="b">
        <f aca="false">FALSE()</f>
        <v>0</v>
      </c>
    </row>
    <row r="555" customFormat="false" ht="15" hidden="false" customHeight="false" outlineLevel="0" collapsed="false">
      <c r="A555" s="6" t="n">
        <v>311526</v>
      </c>
      <c r="B555" s="6" t="s">
        <v>890</v>
      </c>
      <c r="C555" s="6" t="s">
        <v>891</v>
      </c>
      <c r="D555" s="6" t="s">
        <v>753</v>
      </c>
      <c r="E555" s="6" t="s">
        <v>35</v>
      </c>
      <c r="F555" s="6" t="n">
        <v>10.90851</v>
      </c>
      <c r="G555" s="6" t="n">
        <v>78.10009</v>
      </c>
      <c r="H555" s="6" t="n">
        <v>1</v>
      </c>
      <c r="I555" s="6" t="n">
        <v>30</v>
      </c>
      <c r="J555" s="6" t="s">
        <v>36</v>
      </c>
      <c r="K555" s="7" t="b">
        <f aca="false">FALSE()</f>
        <v>0</v>
      </c>
    </row>
    <row r="556" customFormat="false" ht="15" hidden="false" customHeight="false" outlineLevel="0" collapsed="false">
      <c r="A556" s="6" t="n">
        <v>311525</v>
      </c>
      <c r="B556" s="6" t="s">
        <v>892</v>
      </c>
      <c r="C556" s="6" t="s">
        <v>891</v>
      </c>
      <c r="D556" s="6" t="s">
        <v>753</v>
      </c>
      <c r="E556" s="6" t="s">
        <v>35</v>
      </c>
      <c r="F556" s="6" t="n">
        <v>10.95773</v>
      </c>
      <c r="G556" s="6" t="n">
        <v>78.06033</v>
      </c>
      <c r="H556" s="6" t="n">
        <v>1</v>
      </c>
      <c r="I556" s="6" t="n">
        <v>30</v>
      </c>
      <c r="J556" s="6" t="s">
        <v>36</v>
      </c>
      <c r="K556" s="7" t="b">
        <f aca="false">FALSE()</f>
        <v>0</v>
      </c>
    </row>
    <row r="557" customFormat="false" ht="15" hidden="false" customHeight="false" outlineLevel="0" collapsed="false">
      <c r="A557" s="6" t="n">
        <v>311524</v>
      </c>
      <c r="B557" s="6" t="s">
        <v>893</v>
      </c>
      <c r="C557" s="6" t="s">
        <v>891</v>
      </c>
      <c r="D557" s="6" t="s">
        <v>753</v>
      </c>
      <c r="E557" s="6" t="s">
        <v>35</v>
      </c>
      <c r="F557" s="6" t="n">
        <v>10.97867</v>
      </c>
      <c r="G557" s="6" t="n">
        <v>78.06428</v>
      </c>
      <c r="H557" s="6" t="n">
        <v>1</v>
      </c>
      <c r="I557" s="6" t="n">
        <v>30</v>
      </c>
      <c r="J557" s="6" t="s">
        <v>36</v>
      </c>
      <c r="K557" s="7" t="b">
        <f aca="false">FALSE()</f>
        <v>0</v>
      </c>
    </row>
    <row r="558" customFormat="false" ht="15" hidden="false" customHeight="false" outlineLevel="0" collapsed="false">
      <c r="A558" s="6" t="n">
        <v>311523</v>
      </c>
      <c r="B558" s="6" t="s">
        <v>894</v>
      </c>
      <c r="C558" s="6" t="s">
        <v>891</v>
      </c>
      <c r="D558" s="6" t="s">
        <v>753</v>
      </c>
      <c r="E558" s="6" t="s">
        <v>35</v>
      </c>
      <c r="F558" s="6" t="n">
        <v>11.01223</v>
      </c>
      <c r="G558" s="6" t="n">
        <v>78.06818</v>
      </c>
      <c r="H558" s="6" t="n">
        <v>1</v>
      </c>
      <c r="I558" s="6" t="n">
        <v>25</v>
      </c>
      <c r="J558" s="6" t="s">
        <v>36</v>
      </c>
      <c r="K558" s="7" t="b">
        <f aca="false">FALSE()</f>
        <v>0</v>
      </c>
    </row>
    <row r="559" customFormat="false" ht="15" hidden="false" customHeight="false" outlineLevel="0" collapsed="false">
      <c r="A559" s="6" t="n">
        <v>311518</v>
      </c>
      <c r="B559" s="6" t="s">
        <v>895</v>
      </c>
      <c r="C559" s="6" t="s">
        <v>896</v>
      </c>
      <c r="D559" s="6" t="s">
        <v>753</v>
      </c>
      <c r="E559" s="6" t="s">
        <v>35</v>
      </c>
      <c r="F559" s="6" t="n">
        <v>11.17039</v>
      </c>
      <c r="G559" s="6" t="n">
        <v>78.03892</v>
      </c>
      <c r="H559" s="6" t="n">
        <v>1</v>
      </c>
      <c r="I559" s="6" t="n">
        <v>25</v>
      </c>
      <c r="J559" s="6" t="s">
        <v>36</v>
      </c>
      <c r="K559" s="7" t="b">
        <f aca="false">FALSE()</f>
        <v>0</v>
      </c>
    </row>
    <row r="560" customFormat="false" ht="15" hidden="false" customHeight="false" outlineLevel="0" collapsed="false">
      <c r="A560" s="6" t="n">
        <v>311504</v>
      </c>
      <c r="B560" s="6" t="s">
        <v>897</v>
      </c>
      <c r="C560" s="6" t="s">
        <v>898</v>
      </c>
      <c r="D560" s="6" t="s">
        <v>753</v>
      </c>
      <c r="E560" s="6" t="s">
        <v>35</v>
      </c>
      <c r="F560" s="6" t="n">
        <v>11.23999</v>
      </c>
      <c r="G560" s="6" t="n">
        <v>78.14177</v>
      </c>
      <c r="H560" s="6" t="n">
        <v>1</v>
      </c>
      <c r="I560" s="6" t="n">
        <v>30</v>
      </c>
      <c r="J560" s="6" t="s">
        <v>36</v>
      </c>
      <c r="K560" s="7" t="b">
        <f aca="false">FALSE()</f>
        <v>0</v>
      </c>
    </row>
    <row r="561" customFormat="false" ht="15" hidden="false" customHeight="false" outlineLevel="0" collapsed="false">
      <c r="A561" s="6" t="n">
        <v>311503</v>
      </c>
      <c r="B561" s="6" t="s">
        <v>895</v>
      </c>
      <c r="C561" s="6" t="s">
        <v>899</v>
      </c>
      <c r="D561" s="6" t="s">
        <v>753</v>
      </c>
      <c r="E561" s="6" t="s">
        <v>35</v>
      </c>
      <c r="F561" s="6" t="n">
        <v>11.27246</v>
      </c>
      <c r="G561" s="6" t="n">
        <v>78.16423</v>
      </c>
      <c r="H561" s="6" t="n">
        <v>1</v>
      </c>
      <c r="I561" s="6" t="n">
        <v>30</v>
      </c>
      <c r="J561" s="6" t="s">
        <v>36</v>
      </c>
      <c r="K561" s="7" t="b">
        <f aca="false">FALSE()</f>
        <v>0</v>
      </c>
    </row>
    <row r="562" customFormat="false" ht="15" hidden="false" customHeight="false" outlineLevel="0" collapsed="false">
      <c r="A562" s="6" t="n">
        <v>311502</v>
      </c>
      <c r="B562" s="6" t="s">
        <v>900</v>
      </c>
      <c r="C562" s="6" t="s">
        <v>898</v>
      </c>
      <c r="D562" s="6" t="s">
        <v>753</v>
      </c>
      <c r="E562" s="6" t="s">
        <v>35</v>
      </c>
      <c r="F562" s="6" t="n">
        <v>11.27967</v>
      </c>
      <c r="G562" s="6" t="n">
        <v>78.16411</v>
      </c>
      <c r="H562" s="6" t="n">
        <v>1</v>
      </c>
      <c r="I562" s="6" t="n">
        <v>30</v>
      </c>
      <c r="J562" s="6" t="s">
        <v>36</v>
      </c>
      <c r="K562" s="7" t="b">
        <f aca="false">FALSE()</f>
        <v>0</v>
      </c>
    </row>
    <row r="563" customFormat="false" ht="15" hidden="false" customHeight="false" outlineLevel="0" collapsed="false">
      <c r="A563" s="6" t="n">
        <v>311501</v>
      </c>
      <c r="B563" s="6" t="s">
        <v>901</v>
      </c>
      <c r="C563" s="6" t="s">
        <v>902</v>
      </c>
      <c r="D563" s="6" t="s">
        <v>753</v>
      </c>
      <c r="E563" s="6" t="s">
        <v>35</v>
      </c>
      <c r="F563" s="6" t="n">
        <v>11.44779</v>
      </c>
      <c r="G563" s="6" t="n">
        <v>78.16161</v>
      </c>
      <c r="H563" s="6" t="n">
        <v>1</v>
      </c>
      <c r="I563" s="6" t="n">
        <v>60</v>
      </c>
      <c r="J563" s="6" t="s">
        <v>39</v>
      </c>
      <c r="K563" s="7" t="b">
        <f aca="false">TRUE()</f>
        <v>1</v>
      </c>
    </row>
    <row r="564" customFormat="false" ht="15" hidden="false" customHeight="false" outlineLevel="0" collapsed="false">
      <c r="A564" s="6" t="n">
        <v>311500</v>
      </c>
      <c r="B564" s="6" t="s">
        <v>903</v>
      </c>
      <c r="C564" s="6" t="s">
        <v>902</v>
      </c>
      <c r="D564" s="6" t="s">
        <v>753</v>
      </c>
      <c r="E564" s="6" t="s">
        <v>35</v>
      </c>
      <c r="F564" s="6" t="n">
        <v>11.49253</v>
      </c>
      <c r="G564" s="6" t="n">
        <v>78.15367</v>
      </c>
      <c r="H564" s="6" t="n">
        <v>1</v>
      </c>
      <c r="I564" s="6" t="n">
        <v>60</v>
      </c>
      <c r="J564" s="6" t="s">
        <v>39</v>
      </c>
      <c r="K564" s="7" t="b">
        <f aca="false">TRUE()</f>
        <v>1</v>
      </c>
    </row>
    <row r="565" customFormat="false" ht="15" hidden="false" customHeight="false" outlineLevel="0" collapsed="false">
      <c r="A565" s="6" t="n">
        <v>311499</v>
      </c>
      <c r="B565" s="6" t="s">
        <v>904</v>
      </c>
      <c r="C565" s="6" t="s">
        <v>905</v>
      </c>
      <c r="D565" s="6" t="s">
        <v>753</v>
      </c>
      <c r="E565" s="6" t="s">
        <v>35</v>
      </c>
      <c r="F565" s="6" t="n">
        <v>11.53586</v>
      </c>
      <c r="G565" s="6" t="n">
        <v>78.14556</v>
      </c>
      <c r="H565" s="6" t="n">
        <v>1</v>
      </c>
      <c r="I565" s="6" t="n">
        <v>60</v>
      </c>
      <c r="J565" s="6" t="s">
        <v>39</v>
      </c>
      <c r="K565" s="7" t="b">
        <f aca="false">TRUE()</f>
        <v>1</v>
      </c>
    </row>
    <row r="566" customFormat="false" ht="15" hidden="false" customHeight="false" outlineLevel="0" collapsed="false">
      <c r="A566" s="6" t="n">
        <v>311498</v>
      </c>
      <c r="B566" s="6" t="s">
        <v>906</v>
      </c>
      <c r="C566" s="6" t="s">
        <v>907</v>
      </c>
      <c r="D566" s="6" t="s">
        <v>753</v>
      </c>
      <c r="E566" s="6" t="s">
        <v>35</v>
      </c>
      <c r="F566" s="6" t="n">
        <v>11.57838</v>
      </c>
      <c r="G566" s="6" t="n">
        <v>78.14588</v>
      </c>
      <c r="H566" s="6" t="n">
        <v>1</v>
      </c>
      <c r="I566" s="6" t="n">
        <v>60</v>
      </c>
      <c r="J566" s="6" t="s">
        <v>39</v>
      </c>
      <c r="K566" s="7" t="b">
        <f aca="false">TRUE()</f>
        <v>1</v>
      </c>
    </row>
    <row r="567" customFormat="false" ht="15" hidden="false" customHeight="false" outlineLevel="0" collapsed="false">
      <c r="A567" s="6" t="n">
        <v>311497</v>
      </c>
      <c r="B567" s="6" t="s">
        <v>908</v>
      </c>
      <c r="C567" s="6" t="s">
        <v>907</v>
      </c>
      <c r="D567" s="6" t="s">
        <v>753</v>
      </c>
      <c r="E567" s="6" t="s">
        <v>35</v>
      </c>
      <c r="F567" s="6" t="n">
        <v>11.57853</v>
      </c>
      <c r="G567" s="6" t="n">
        <v>78.14611</v>
      </c>
      <c r="H567" s="6" t="n">
        <v>1</v>
      </c>
      <c r="I567" s="6" t="n">
        <v>60</v>
      </c>
      <c r="J567" s="6" t="s">
        <v>39</v>
      </c>
      <c r="K567" s="7" t="b">
        <f aca="false">TRUE()</f>
        <v>1</v>
      </c>
    </row>
    <row r="568" customFormat="false" ht="15" hidden="false" customHeight="false" outlineLevel="0" collapsed="false">
      <c r="A568" s="6" t="n">
        <v>311496</v>
      </c>
      <c r="B568" s="6" t="s">
        <v>903</v>
      </c>
      <c r="C568" s="6" t="s">
        <v>870</v>
      </c>
      <c r="D568" s="6" t="s">
        <v>753</v>
      </c>
      <c r="E568" s="6" t="s">
        <v>35</v>
      </c>
      <c r="F568" s="6" t="n">
        <v>11.61856</v>
      </c>
      <c r="G568" s="6" t="n">
        <v>78.107</v>
      </c>
      <c r="H568" s="6" t="n">
        <v>1</v>
      </c>
      <c r="I568" s="6" t="n">
        <v>60</v>
      </c>
      <c r="J568" s="6" t="s">
        <v>39</v>
      </c>
      <c r="K568" s="7" t="b">
        <f aca="false">TRUE()</f>
        <v>1</v>
      </c>
    </row>
    <row r="569" customFormat="false" ht="15" hidden="false" customHeight="false" outlineLevel="0" collapsed="false">
      <c r="A569" s="6" t="n">
        <v>311495</v>
      </c>
      <c r="B569" s="6" t="s">
        <v>909</v>
      </c>
      <c r="C569" s="6" t="s">
        <v>870</v>
      </c>
      <c r="D569" s="6" t="s">
        <v>753</v>
      </c>
      <c r="E569" s="6" t="s">
        <v>35</v>
      </c>
      <c r="F569" s="6" t="n">
        <v>11.68287</v>
      </c>
      <c r="G569" s="6" t="n">
        <v>78.12606</v>
      </c>
      <c r="H569" s="6" t="n">
        <v>1</v>
      </c>
      <c r="I569" s="6" t="n">
        <v>25</v>
      </c>
      <c r="J569" s="6" t="s">
        <v>36</v>
      </c>
      <c r="K569" s="7" t="b">
        <f aca="false">FALSE()</f>
        <v>0</v>
      </c>
    </row>
    <row r="570" customFormat="false" ht="15" hidden="false" customHeight="false" outlineLevel="0" collapsed="false">
      <c r="A570" s="6" t="n">
        <v>311494</v>
      </c>
      <c r="B570" s="6" t="s">
        <v>910</v>
      </c>
      <c r="C570" s="6" t="s">
        <v>870</v>
      </c>
      <c r="D570" s="6" t="s">
        <v>753</v>
      </c>
      <c r="E570" s="6" t="s">
        <v>35</v>
      </c>
      <c r="F570" s="6" t="n">
        <v>11.69299</v>
      </c>
      <c r="G570" s="6" t="n">
        <v>78.11234</v>
      </c>
      <c r="H570" s="6" t="n">
        <v>1</v>
      </c>
      <c r="I570" s="6" t="n">
        <v>30</v>
      </c>
      <c r="J570" s="6" t="s">
        <v>36</v>
      </c>
      <c r="K570" s="7" t="b">
        <f aca="false">FALSE()</f>
        <v>0</v>
      </c>
    </row>
    <row r="571" customFormat="false" ht="15" hidden="false" customHeight="false" outlineLevel="0" collapsed="false">
      <c r="A571" s="6" t="n">
        <v>311493</v>
      </c>
      <c r="B571" s="6" t="s">
        <v>911</v>
      </c>
      <c r="C571" s="6" t="s">
        <v>870</v>
      </c>
      <c r="D571" s="6" t="s">
        <v>753</v>
      </c>
      <c r="E571" s="6" t="s">
        <v>35</v>
      </c>
      <c r="F571" s="6" t="n">
        <v>11.72134</v>
      </c>
      <c r="G571" s="6" t="n">
        <v>78.07146</v>
      </c>
      <c r="H571" s="6" t="n">
        <v>1</v>
      </c>
      <c r="I571" s="6" t="n">
        <v>60</v>
      </c>
      <c r="J571" s="6" t="s">
        <v>39</v>
      </c>
      <c r="K571" s="7" t="b">
        <f aca="false">TRUE()</f>
        <v>1</v>
      </c>
    </row>
    <row r="572" customFormat="false" ht="15" hidden="false" customHeight="false" outlineLevel="0" collapsed="false">
      <c r="A572" s="6" t="n">
        <v>311492</v>
      </c>
      <c r="B572" s="6" t="s">
        <v>912</v>
      </c>
      <c r="C572" s="6" t="s">
        <v>913</v>
      </c>
      <c r="D572" s="6" t="s">
        <v>753</v>
      </c>
      <c r="E572" s="6" t="s">
        <v>35</v>
      </c>
      <c r="F572" s="6" t="n">
        <v>11.75299</v>
      </c>
      <c r="G572" s="6" t="n">
        <v>78.05057</v>
      </c>
      <c r="H572" s="6" t="n">
        <v>1</v>
      </c>
      <c r="I572" s="6" t="n">
        <v>120</v>
      </c>
      <c r="J572" s="6" t="s">
        <v>39</v>
      </c>
      <c r="K572" s="7" t="b">
        <f aca="false">TRUE()</f>
        <v>1</v>
      </c>
    </row>
    <row r="573" customFormat="false" ht="15" hidden="false" customHeight="false" outlineLevel="0" collapsed="false">
      <c r="A573" s="6" t="n">
        <v>311491</v>
      </c>
      <c r="B573" s="6" t="s">
        <v>914</v>
      </c>
      <c r="C573" s="6" t="s">
        <v>913</v>
      </c>
      <c r="D573" s="6" t="s">
        <v>753</v>
      </c>
      <c r="E573" s="6" t="s">
        <v>35</v>
      </c>
      <c r="F573" s="6" t="n">
        <v>11.75518</v>
      </c>
      <c r="G573" s="6" t="n">
        <v>78.05113</v>
      </c>
      <c r="H573" s="6" t="n">
        <v>1</v>
      </c>
      <c r="I573" s="6" t="n">
        <v>50</v>
      </c>
      <c r="J573" s="6" t="s">
        <v>39</v>
      </c>
      <c r="K573" s="7" t="b">
        <f aca="false">TRUE()</f>
        <v>1</v>
      </c>
    </row>
    <row r="574" customFormat="false" ht="15" hidden="false" customHeight="false" outlineLevel="0" collapsed="false">
      <c r="A574" s="6" t="n">
        <v>311490</v>
      </c>
      <c r="B574" s="6" t="s">
        <v>915</v>
      </c>
      <c r="C574" s="6" t="s">
        <v>916</v>
      </c>
      <c r="D574" s="6" t="s">
        <v>753</v>
      </c>
      <c r="E574" s="6" t="s">
        <v>35</v>
      </c>
      <c r="F574" s="6" t="n">
        <v>11.82426</v>
      </c>
      <c r="G574" s="6" t="n">
        <v>78.06513</v>
      </c>
      <c r="H574" s="6" t="n">
        <v>1</v>
      </c>
      <c r="I574" s="6" t="n">
        <v>60</v>
      </c>
      <c r="J574" s="6" t="s">
        <v>39</v>
      </c>
      <c r="K574" s="7" t="b">
        <f aca="false">TRUE()</f>
        <v>1</v>
      </c>
    </row>
    <row r="575" customFormat="false" ht="15" hidden="false" customHeight="false" outlineLevel="0" collapsed="false">
      <c r="A575" s="6" t="n">
        <v>311489</v>
      </c>
      <c r="B575" s="6" t="s">
        <v>917</v>
      </c>
      <c r="C575" s="6" t="s">
        <v>918</v>
      </c>
      <c r="D575" s="6" t="s">
        <v>753</v>
      </c>
      <c r="E575" s="6" t="s">
        <v>35</v>
      </c>
      <c r="F575" s="6" t="n">
        <v>12.12502</v>
      </c>
      <c r="G575" s="6" t="n">
        <v>78.13515</v>
      </c>
      <c r="H575" s="6" t="n">
        <v>1</v>
      </c>
      <c r="I575" s="6" t="n">
        <v>60</v>
      </c>
      <c r="J575" s="6" t="s">
        <v>39</v>
      </c>
      <c r="K575" s="7" t="b">
        <f aca="false">TRUE()</f>
        <v>1</v>
      </c>
    </row>
    <row r="576" customFormat="false" ht="15" hidden="false" customHeight="false" outlineLevel="0" collapsed="false">
      <c r="A576" s="6" t="n">
        <v>311488</v>
      </c>
      <c r="B576" s="6" t="s">
        <v>919</v>
      </c>
      <c r="C576" s="6" t="s">
        <v>920</v>
      </c>
      <c r="D576" s="6" t="s">
        <v>753</v>
      </c>
      <c r="E576" s="6" t="s">
        <v>35</v>
      </c>
      <c r="F576" s="6" t="n">
        <v>12.27429</v>
      </c>
      <c r="G576" s="6" t="n">
        <v>78.197</v>
      </c>
      <c r="H576" s="6" t="n">
        <v>1</v>
      </c>
      <c r="I576" s="6" t="n">
        <v>60</v>
      </c>
      <c r="J576" s="6" t="s">
        <v>39</v>
      </c>
      <c r="K576" s="7" t="b">
        <f aca="false">TRUE()</f>
        <v>1</v>
      </c>
    </row>
    <row r="577" customFormat="false" ht="15" hidden="false" customHeight="false" outlineLevel="0" collapsed="false">
      <c r="A577" s="6" t="n">
        <v>311487</v>
      </c>
      <c r="B577" s="6" t="s">
        <v>921</v>
      </c>
      <c r="C577" s="6" t="s">
        <v>922</v>
      </c>
      <c r="D577" s="6" t="s">
        <v>753</v>
      </c>
      <c r="E577" s="6" t="s">
        <v>35</v>
      </c>
      <c r="F577" s="6" t="n">
        <v>12.34146</v>
      </c>
      <c r="G577" s="6" t="n">
        <v>78.21598</v>
      </c>
      <c r="H577" s="6" t="n">
        <v>1</v>
      </c>
      <c r="I577" s="6" t="n">
        <v>60</v>
      </c>
      <c r="J577" s="6" t="s">
        <v>39</v>
      </c>
      <c r="K577" s="7" t="b">
        <f aca="false">TRUE()</f>
        <v>1</v>
      </c>
    </row>
    <row r="578" customFormat="false" ht="15" hidden="false" customHeight="false" outlineLevel="0" collapsed="false">
      <c r="A578" s="6" t="n">
        <v>311486</v>
      </c>
      <c r="B578" s="6" t="s">
        <v>923</v>
      </c>
      <c r="C578" s="6" t="s">
        <v>924</v>
      </c>
      <c r="D578" s="6" t="s">
        <v>753</v>
      </c>
      <c r="E578" s="6" t="s">
        <v>35</v>
      </c>
      <c r="F578" s="6" t="n">
        <v>12.53084</v>
      </c>
      <c r="G578" s="6" t="n">
        <v>78.23787</v>
      </c>
      <c r="H578" s="6" t="n">
        <v>1</v>
      </c>
      <c r="I578" s="6" t="n">
        <v>25</v>
      </c>
      <c r="J578" s="6" t="s">
        <v>36</v>
      </c>
      <c r="K578" s="7" t="b">
        <f aca="false">FALSE()</f>
        <v>0</v>
      </c>
    </row>
    <row r="579" customFormat="false" ht="15" hidden="false" customHeight="false" outlineLevel="0" collapsed="false">
      <c r="A579" s="6" t="n">
        <v>311485</v>
      </c>
      <c r="B579" s="6" t="s">
        <v>925</v>
      </c>
      <c r="C579" s="6" t="s">
        <v>924</v>
      </c>
      <c r="D579" s="6" t="s">
        <v>753</v>
      </c>
      <c r="E579" s="6" t="s">
        <v>35</v>
      </c>
      <c r="F579" s="6" t="n">
        <v>12.55407</v>
      </c>
      <c r="G579" s="6" t="n">
        <v>78.18823</v>
      </c>
      <c r="H579" s="6" t="n">
        <v>1</v>
      </c>
      <c r="I579" s="6" t="n">
        <v>60</v>
      </c>
      <c r="J579" s="6" t="s">
        <v>39</v>
      </c>
      <c r="K579" s="7" t="b">
        <f aca="false">TRUE()</f>
        <v>1</v>
      </c>
    </row>
    <row r="580" customFormat="false" ht="15" hidden="false" customHeight="false" outlineLevel="0" collapsed="false">
      <c r="A580" s="6" t="n">
        <v>311484</v>
      </c>
      <c r="B580" s="6" t="s">
        <v>926</v>
      </c>
      <c r="C580" s="6" t="s">
        <v>924</v>
      </c>
      <c r="D580" s="6" t="s">
        <v>753</v>
      </c>
      <c r="E580" s="6" t="s">
        <v>35</v>
      </c>
      <c r="F580" s="6" t="n">
        <v>12.57037</v>
      </c>
      <c r="G580" s="6" t="n">
        <v>78.17235</v>
      </c>
      <c r="H580" s="6" t="n">
        <v>1</v>
      </c>
      <c r="I580" s="6" t="n">
        <v>120</v>
      </c>
      <c r="J580" s="6" t="s">
        <v>39</v>
      </c>
      <c r="K580" s="7" t="b">
        <f aca="false">TRUE()</f>
        <v>1</v>
      </c>
    </row>
    <row r="581" customFormat="false" ht="15" hidden="false" customHeight="false" outlineLevel="0" collapsed="false">
      <c r="A581" s="6" t="n">
        <v>311483</v>
      </c>
      <c r="B581" s="6" t="s">
        <v>927</v>
      </c>
      <c r="C581" s="6" t="s">
        <v>928</v>
      </c>
      <c r="D581" s="6" t="s">
        <v>753</v>
      </c>
      <c r="E581" s="6" t="s">
        <v>35</v>
      </c>
      <c r="F581" s="6" t="n">
        <v>12.57339</v>
      </c>
      <c r="G581" s="6" t="n">
        <v>78.16922</v>
      </c>
      <c r="H581" s="6" t="n">
        <v>1</v>
      </c>
      <c r="I581" s="6" t="n">
        <v>30</v>
      </c>
      <c r="J581" s="6" t="s">
        <v>36</v>
      </c>
      <c r="K581" s="7" t="b">
        <f aca="false">FALSE()</f>
        <v>0</v>
      </c>
    </row>
    <row r="582" customFormat="false" ht="15" hidden="false" customHeight="false" outlineLevel="0" collapsed="false">
      <c r="A582" s="6" t="n">
        <v>311482</v>
      </c>
      <c r="B582" s="6" t="s">
        <v>929</v>
      </c>
      <c r="C582" s="6" t="s">
        <v>924</v>
      </c>
      <c r="D582" s="6" t="s">
        <v>753</v>
      </c>
      <c r="E582" s="6" t="s">
        <v>35</v>
      </c>
      <c r="F582" s="6" t="n">
        <v>12.589203</v>
      </c>
      <c r="G582" s="6" t="n">
        <v>78.143947</v>
      </c>
      <c r="H582" s="6" t="n">
        <v>1</v>
      </c>
      <c r="I582" s="6" t="n">
        <v>120</v>
      </c>
      <c r="J582" s="6" t="s">
        <v>39</v>
      </c>
      <c r="K582" s="7" t="b">
        <f aca="false">TRUE()</f>
        <v>1</v>
      </c>
    </row>
    <row r="583" customFormat="false" ht="15" hidden="false" customHeight="false" outlineLevel="0" collapsed="false">
      <c r="A583" s="6" t="n">
        <v>311481</v>
      </c>
      <c r="B583" s="6" t="s">
        <v>930</v>
      </c>
      <c r="C583" s="6" t="s">
        <v>924</v>
      </c>
      <c r="D583" s="6" t="s">
        <v>753</v>
      </c>
      <c r="E583" s="6" t="s">
        <v>35</v>
      </c>
      <c r="F583" s="6" t="n">
        <v>12.5819</v>
      </c>
      <c r="G583" s="6" t="n">
        <v>78.15707</v>
      </c>
      <c r="H583" s="6" t="n">
        <v>1</v>
      </c>
      <c r="I583" s="6" t="n">
        <v>60</v>
      </c>
      <c r="J583" s="6" t="s">
        <v>39</v>
      </c>
      <c r="K583" s="7" t="b">
        <f aca="false">TRUE()</f>
        <v>1</v>
      </c>
    </row>
    <row r="584" customFormat="false" ht="15" hidden="false" customHeight="false" outlineLevel="0" collapsed="false">
      <c r="A584" s="6" t="n">
        <v>311480</v>
      </c>
      <c r="B584" s="6" t="s">
        <v>931</v>
      </c>
      <c r="C584" s="6" t="s">
        <v>932</v>
      </c>
      <c r="D584" s="6" t="s">
        <v>753</v>
      </c>
      <c r="E584" s="6" t="s">
        <v>35</v>
      </c>
      <c r="F584" s="6" t="n">
        <v>12.58858</v>
      </c>
      <c r="G584" s="6" t="n">
        <v>78.14646</v>
      </c>
      <c r="H584" s="6" t="n">
        <v>1</v>
      </c>
      <c r="I584" s="6" t="n">
        <v>60</v>
      </c>
      <c r="J584" s="6" t="s">
        <v>39</v>
      </c>
      <c r="K584" s="7" t="b">
        <f aca="false">TRUE()</f>
        <v>1</v>
      </c>
    </row>
    <row r="585" customFormat="false" ht="15" hidden="false" customHeight="false" outlineLevel="0" collapsed="false">
      <c r="A585" s="6" t="n">
        <v>311464</v>
      </c>
      <c r="B585" s="6" t="s">
        <v>880</v>
      </c>
      <c r="C585" s="6" t="s">
        <v>933</v>
      </c>
      <c r="D585" s="6" t="s">
        <v>753</v>
      </c>
      <c r="E585" s="6" t="s">
        <v>35</v>
      </c>
      <c r="F585" s="6" t="n">
        <v>12.63869</v>
      </c>
      <c r="G585" s="6" t="n">
        <v>78.06529</v>
      </c>
      <c r="H585" s="6" t="n">
        <v>1</v>
      </c>
      <c r="I585" s="6" t="n">
        <v>120</v>
      </c>
      <c r="J585" s="6" t="s">
        <v>39</v>
      </c>
      <c r="K585" s="7" t="b">
        <f aca="false">TRUE()</f>
        <v>1</v>
      </c>
    </row>
    <row r="586" customFormat="false" ht="15" hidden="false" customHeight="false" outlineLevel="0" collapsed="false">
      <c r="A586" s="6" t="n">
        <v>311463</v>
      </c>
      <c r="B586" s="6" t="s">
        <v>934</v>
      </c>
      <c r="C586" s="6" t="s">
        <v>935</v>
      </c>
      <c r="D586" s="6" t="s">
        <v>753</v>
      </c>
      <c r="E586" s="6" t="s">
        <v>35</v>
      </c>
      <c r="F586" s="6" t="n">
        <v>12.64608</v>
      </c>
      <c r="G586" s="6" t="n">
        <v>78.04741</v>
      </c>
      <c r="H586" s="6" t="n">
        <v>1</v>
      </c>
      <c r="I586" s="6" t="n">
        <v>24</v>
      </c>
      <c r="J586" s="6" t="s">
        <v>36</v>
      </c>
      <c r="K586" s="7" t="b">
        <f aca="false">FALSE()</f>
        <v>0</v>
      </c>
    </row>
    <row r="587" customFormat="false" ht="15" hidden="false" customHeight="false" outlineLevel="0" collapsed="false">
      <c r="A587" s="6" t="n">
        <v>311462</v>
      </c>
      <c r="B587" s="6" t="s">
        <v>936</v>
      </c>
      <c r="C587" s="6" t="s">
        <v>937</v>
      </c>
      <c r="D587" s="6" t="s">
        <v>753</v>
      </c>
      <c r="E587" s="6" t="s">
        <v>35</v>
      </c>
      <c r="F587" s="6" t="n">
        <v>12.67108</v>
      </c>
      <c r="G587" s="6" t="n">
        <v>77.97997</v>
      </c>
      <c r="H587" s="6" t="n">
        <v>1</v>
      </c>
      <c r="I587" s="6" t="n">
        <v>60</v>
      </c>
      <c r="J587" s="6" t="s">
        <v>39</v>
      </c>
      <c r="K587" s="7" t="b">
        <f aca="false">TRUE()</f>
        <v>1</v>
      </c>
    </row>
    <row r="588" customFormat="false" ht="15" hidden="false" customHeight="false" outlineLevel="0" collapsed="false">
      <c r="A588" s="6" t="n">
        <v>311461</v>
      </c>
      <c r="B588" s="6" t="s">
        <v>938</v>
      </c>
      <c r="C588" s="6" t="s">
        <v>939</v>
      </c>
      <c r="D588" s="6" t="s">
        <v>753</v>
      </c>
      <c r="E588" s="6" t="s">
        <v>35</v>
      </c>
      <c r="F588" s="6" t="n">
        <v>12.6807</v>
      </c>
      <c r="G588" s="6" t="n">
        <v>77.95265</v>
      </c>
      <c r="H588" s="6" t="n">
        <v>1</v>
      </c>
      <c r="I588" s="6" t="n">
        <v>60</v>
      </c>
      <c r="J588" s="6" t="s">
        <v>39</v>
      </c>
      <c r="K588" s="7" t="b">
        <f aca="false">TRUE()</f>
        <v>1</v>
      </c>
    </row>
    <row r="589" customFormat="false" ht="15" hidden="false" customHeight="false" outlineLevel="0" collapsed="false">
      <c r="A589" s="6" t="n">
        <v>311460</v>
      </c>
      <c r="B589" s="6" t="s">
        <v>940</v>
      </c>
      <c r="C589" s="6" t="s">
        <v>941</v>
      </c>
      <c r="D589" s="6" t="s">
        <v>753</v>
      </c>
      <c r="E589" s="6" t="s">
        <v>35</v>
      </c>
      <c r="F589" s="6" t="n">
        <v>12.68784</v>
      </c>
      <c r="G589" s="6" t="n">
        <v>77.92684</v>
      </c>
      <c r="H589" s="6" t="n">
        <v>1</v>
      </c>
      <c r="I589" s="6" t="n">
        <v>30</v>
      </c>
      <c r="J589" s="6" t="s">
        <v>36</v>
      </c>
      <c r="K589" s="7" t="b">
        <f aca="false">FALSE()</f>
        <v>0</v>
      </c>
    </row>
    <row r="590" customFormat="false" ht="15" hidden="false" customHeight="false" outlineLevel="0" collapsed="false">
      <c r="A590" s="6" t="n">
        <v>311459</v>
      </c>
      <c r="B590" s="6" t="s">
        <v>942</v>
      </c>
      <c r="C590" s="6" t="s">
        <v>943</v>
      </c>
      <c r="D590" s="6" t="s">
        <v>753</v>
      </c>
      <c r="E590" s="6" t="s">
        <v>35</v>
      </c>
      <c r="F590" s="6" t="n">
        <v>12.71462</v>
      </c>
      <c r="G590" s="6" t="n">
        <v>77.88475</v>
      </c>
      <c r="H590" s="6" t="n">
        <v>1</v>
      </c>
      <c r="I590" s="6" t="n">
        <v>60</v>
      </c>
      <c r="J590" s="6" t="s">
        <v>39</v>
      </c>
      <c r="K590" s="7" t="b">
        <f aca="false">TRUE()</f>
        <v>1</v>
      </c>
    </row>
    <row r="591" customFormat="false" ht="15" hidden="false" customHeight="false" outlineLevel="0" collapsed="false">
      <c r="A591" s="6" t="n">
        <v>311458</v>
      </c>
      <c r="B591" s="6" t="s">
        <v>944</v>
      </c>
      <c r="C591" s="6" t="s">
        <v>943</v>
      </c>
      <c r="D591" s="6" t="s">
        <v>753</v>
      </c>
      <c r="E591" s="6" t="s">
        <v>35</v>
      </c>
      <c r="F591" s="6" t="n">
        <v>12.71741</v>
      </c>
      <c r="G591" s="6" t="n">
        <v>77.87594</v>
      </c>
      <c r="H591" s="6" t="n">
        <v>1</v>
      </c>
      <c r="I591" s="6" t="n">
        <v>25</v>
      </c>
      <c r="J591" s="6" t="s">
        <v>36</v>
      </c>
      <c r="K591" s="7" t="b">
        <f aca="false">FALSE()</f>
        <v>0</v>
      </c>
    </row>
    <row r="592" customFormat="false" ht="15" hidden="false" customHeight="false" outlineLevel="0" collapsed="false">
      <c r="A592" s="6" t="n">
        <v>311457</v>
      </c>
      <c r="B592" s="6" t="s">
        <v>945</v>
      </c>
      <c r="C592" s="6" t="s">
        <v>946</v>
      </c>
      <c r="D592" s="6" t="s">
        <v>753</v>
      </c>
      <c r="E592" s="6" t="s">
        <v>35</v>
      </c>
      <c r="F592" s="6" t="n">
        <v>12.74717</v>
      </c>
      <c r="G592" s="6" t="n">
        <v>77.81056</v>
      </c>
      <c r="H592" s="6" t="n">
        <v>1</v>
      </c>
      <c r="I592" s="6" t="n">
        <v>60</v>
      </c>
      <c r="J592" s="6" t="s">
        <v>39</v>
      </c>
      <c r="K592" s="7" t="b">
        <f aca="false">TRUE()</f>
        <v>1</v>
      </c>
    </row>
    <row r="593" customFormat="false" ht="15" hidden="false" customHeight="false" outlineLevel="0" collapsed="false">
      <c r="A593" s="6" t="n">
        <v>311456</v>
      </c>
      <c r="B593" s="6" t="s">
        <v>947</v>
      </c>
      <c r="C593" s="6" t="s">
        <v>943</v>
      </c>
      <c r="D593" s="6" t="s">
        <v>753</v>
      </c>
      <c r="E593" s="6" t="s">
        <v>35</v>
      </c>
      <c r="F593" s="6" t="n">
        <v>12.75413</v>
      </c>
      <c r="G593" s="6" t="n">
        <v>77.80406</v>
      </c>
      <c r="H593" s="6" t="n">
        <v>1</v>
      </c>
      <c r="I593" s="6" t="n">
        <v>30</v>
      </c>
      <c r="J593" s="6" t="s">
        <v>36</v>
      </c>
      <c r="K593" s="7" t="b">
        <f aca="false">FALSE()</f>
        <v>0</v>
      </c>
    </row>
    <row r="594" customFormat="false" ht="15" hidden="false" customHeight="false" outlineLevel="0" collapsed="false">
      <c r="A594" s="6" t="n">
        <v>311455</v>
      </c>
      <c r="B594" s="6" t="s">
        <v>948</v>
      </c>
      <c r="C594" s="6" t="s">
        <v>949</v>
      </c>
      <c r="D594" s="6" t="s">
        <v>34</v>
      </c>
      <c r="E594" s="6" t="s">
        <v>35</v>
      </c>
      <c r="F594" s="6" t="n">
        <v>12.78393</v>
      </c>
      <c r="G594" s="6" t="n">
        <v>77.75433</v>
      </c>
      <c r="H594" s="6" t="n">
        <v>1</v>
      </c>
      <c r="I594" s="6" t="n">
        <v>30</v>
      </c>
      <c r="J594" s="6" t="s">
        <v>36</v>
      </c>
      <c r="K594" s="7" t="b">
        <f aca="false">FALSE()</f>
        <v>0</v>
      </c>
    </row>
    <row r="595" customFormat="false" ht="15" hidden="false" customHeight="false" outlineLevel="0" collapsed="false">
      <c r="A595" s="6" t="n">
        <v>311454</v>
      </c>
      <c r="B595" s="6" t="s">
        <v>950</v>
      </c>
      <c r="C595" s="6" t="s">
        <v>951</v>
      </c>
      <c r="D595" s="6" t="s">
        <v>34</v>
      </c>
      <c r="E595" s="6" t="s">
        <v>35</v>
      </c>
      <c r="F595" s="6" t="n">
        <v>12.85327</v>
      </c>
      <c r="G595" s="6" t="n">
        <v>77.6672</v>
      </c>
      <c r="H595" s="6" t="n">
        <v>1</v>
      </c>
      <c r="I595" s="6" t="n">
        <v>30</v>
      </c>
      <c r="J595" s="6" t="s">
        <v>36</v>
      </c>
      <c r="K595" s="7" t="b">
        <f aca="false">FALSE()</f>
        <v>0</v>
      </c>
    </row>
    <row r="596" customFormat="false" ht="15" hidden="false" customHeight="false" outlineLevel="0" collapsed="false">
      <c r="A596" s="6" t="n">
        <v>311453</v>
      </c>
      <c r="B596" s="6" t="s">
        <v>952</v>
      </c>
      <c r="C596" s="6" t="s">
        <v>951</v>
      </c>
      <c r="D596" s="6" t="s">
        <v>34</v>
      </c>
      <c r="E596" s="6" t="s">
        <v>35</v>
      </c>
      <c r="F596" s="6" t="n">
        <v>12.841089</v>
      </c>
      <c r="G596" s="6" t="n">
        <v>77.664417</v>
      </c>
      <c r="H596" s="6" t="n">
        <v>2</v>
      </c>
      <c r="I596" s="6" t="n">
        <v>60</v>
      </c>
      <c r="J596" s="6" t="s">
        <v>39</v>
      </c>
      <c r="K596" s="7" t="b">
        <f aca="false">TRUE()</f>
        <v>1</v>
      </c>
    </row>
    <row r="597" customFormat="false" ht="15" hidden="false" customHeight="false" outlineLevel="0" collapsed="false">
      <c r="A597" s="6" t="n">
        <v>311452</v>
      </c>
      <c r="B597" s="6" t="s">
        <v>953</v>
      </c>
      <c r="C597" s="6" t="s">
        <v>951</v>
      </c>
      <c r="D597" s="6" t="s">
        <v>34</v>
      </c>
      <c r="E597" s="6" t="s">
        <v>35</v>
      </c>
      <c r="F597" s="6" t="n">
        <v>12.839685</v>
      </c>
      <c r="G597" s="6" t="n">
        <v>77.659526</v>
      </c>
      <c r="H597" s="6" t="n">
        <v>1</v>
      </c>
      <c r="I597" s="6" t="n">
        <v>30</v>
      </c>
      <c r="J597" s="6" t="s">
        <v>36</v>
      </c>
      <c r="K597" s="7" t="b">
        <f aca="false">FALSE()</f>
        <v>0</v>
      </c>
    </row>
    <row r="598" customFormat="false" ht="15" hidden="false" customHeight="false" outlineLevel="0" collapsed="false">
      <c r="A598" s="6" t="n">
        <v>311451</v>
      </c>
      <c r="B598" s="6" t="s">
        <v>954</v>
      </c>
      <c r="C598" s="6" t="s">
        <v>951</v>
      </c>
      <c r="D598" s="6" t="s">
        <v>34</v>
      </c>
      <c r="E598" s="6" t="s">
        <v>35</v>
      </c>
      <c r="F598" s="6" t="n">
        <v>12.861066</v>
      </c>
      <c r="G598" s="6" t="n">
        <v>77.660998</v>
      </c>
      <c r="H598" s="6" t="n">
        <v>1</v>
      </c>
      <c r="I598" s="6" t="n">
        <v>7.4</v>
      </c>
      <c r="J598" s="6" t="s">
        <v>126</v>
      </c>
      <c r="K598" s="7" t="b">
        <f aca="false">FALSE()</f>
        <v>0</v>
      </c>
    </row>
    <row r="599" customFormat="false" ht="15" hidden="false" customHeight="false" outlineLevel="0" collapsed="false">
      <c r="A599" s="6" t="n">
        <v>311450</v>
      </c>
      <c r="B599" s="6" t="s">
        <v>955</v>
      </c>
      <c r="C599" s="6" t="s">
        <v>956</v>
      </c>
      <c r="D599" s="6" t="s">
        <v>753</v>
      </c>
      <c r="E599" s="6" t="s">
        <v>35</v>
      </c>
      <c r="F599" s="6" t="n">
        <v>11.489924</v>
      </c>
      <c r="G599" s="6" t="n">
        <v>77.243692</v>
      </c>
      <c r="H599" s="6" t="n">
        <v>1</v>
      </c>
      <c r="I599" s="6" t="n">
        <v>24</v>
      </c>
      <c r="J599" s="6" t="s">
        <v>36</v>
      </c>
      <c r="K599" s="7" t="b">
        <f aca="false">FALSE()</f>
        <v>0</v>
      </c>
    </row>
    <row r="600" customFormat="false" ht="15" hidden="false" customHeight="false" outlineLevel="0" collapsed="false">
      <c r="A600" s="6" t="n">
        <v>311408</v>
      </c>
      <c r="B600" s="6" t="s">
        <v>957</v>
      </c>
      <c r="C600" s="6" t="s">
        <v>958</v>
      </c>
      <c r="D600" s="6" t="s">
        <v>34</v>
      </c>
      <c r="E600" s="6" t="s">
        <v>35</v>
      </c>
      <c r="F600" s="6" t="n">
        <v>13.059564</v>
      </c>
      <c r="G600" s="6" t="n">
        <v>77.163172</v>
      </c>
      <c r="H600" s="6" t="n">
        <v>1</v>
      </c>
      <c r="I600" s="6" t="n">
        <v>60</v>
      </c>
      <c r="J600" s="6" t="s">
        <v>39</v>
      </c>
      <c r="K600" s="7" t="b">
        <f aca="false">TRUE()</f>
        <v>1</v>
      </c>
    </row>
    <row r="601" customFormat="false" ht="15" hidden="false" customHeight="false" outlineLevel="0" collapsed="false">
      <c r="A601" s="6" t="n">
        <v>311407</v>
      </c>
      <c r="B601" s="6" t="s">
        <v>959</v>
      </c>
      <c r="C601" s="6" t="s">
        <v>960</v>
      </c>
      <c r="D601" s="6" t="s">
        <v>34</v>
      </c>
      <c r="E601" s="6" t="s">
        <v>35</v>
      </c>
      <c r="F601" s="6" t="n">
        <v>12.99504</v>
      </c>
      <c r="G601" s="6" t="n">
        <v>76.89999</v>
      </c>
      <c r="H601" s="6" t="n">
        <v>2</v>
      </c>
      <c r="I601" s="6" t="n">
        <v>120</v>
      </c>
      <c r="J601" s="6" t="s">
        <v>39</v>
      </c>
      <c r="K601" s="7" t="b">
        <f aca="false">TRUE()</f>
        <v>1</v>
      </c>
    </row>
    <row r="602" customFormat="false" ht="15" hidden="false" customHeight="false" outlineLevel="0" collapsed="false">
      <c r="A602" s="6" t="n">
        <v>311285</v>
      </c>
      <c r="B602" s="6" t="s">
        <v>961</v>
      </c>
      <c r="C602" s="6" t="s">
        <v>962</v>
      </c>
      <c r="D602" s="6" t="s">
        <v>753</v>
      </c>
      <c r="E602" s="6" t="s">
        <v>35</v>
      </c>
      <c r="F602" s="6" t="n">
        <v>13.035231</v>
      </c>
      <c r="G602" s="6" t="n">
        <v>80.195469</v>
      </c>
      <c r="H602" s="6" t="n">
        <v>1</v>
      </c>
      <c r="I602" s="6" t="n">
        <v>7.2</v>
      </c>
      <c r="J602" s="6" t="s">
        <v>126</v>
      </c>
      <c r="K602" s="7" t="b">
        <f aca="false">FALSE()</f>
        <v>0</v>
      </c>
    </row>
    <row r="603" customFormat="false" ht="15" hidden="false" customHeight="false" outlineLevel="0" collapsed="false">
      <c r="A603" s="6" t="n">
        <v>311284</v>
      </c>
      <c r="B603" s="6" t="s">
        <v>963</v>
      </c>
      <c r="C603" s="6" t="s">
        <v>964</v>
      </c>
      <c r="D603" s="6" t="s">
        <v>753</v>
      </c>
      <c r="E603" s="6" t="s">
        <v>35</v>
      </c>
      <c r="F603" s="6" t="n">
        <v>12.919047</v>
      </c>
      <c r="G603" s="6" t="n">
        <v>80.282986</v>
      </c>
      <c r="H603" s="6" t="n">
        <v>1</v>
      </c>
      <c r="I603" s="6"/>
      <c r="J603" s="6" t="s">
        <v>748</v>
      </c>
      <c r="K603" s="7" t="b">
        <f aca="false">TRUE()</f>
        <v>1</v>
      </c>
    </row>
    <row r="604" customFormat="false" ht="15" hidden="false" customHeight="false" outlineLevel="0" collapsed="false">
      <c r="A604" s="6" t="n">
        <v>309500</v>
      </c>
      <c r="B604" s="6" t="s">
        <v>965</v>
      </c>
      <c r="C604" s="6" t="s">
        <v>966</v>
      </c>
      <c r="D604" s="6" t="s">
        <v>34</v>
      </c>
      <c r="E604" s="6" t="s">
        <v>35</v>
      </c>
      <c r="F604" s="6" t="n">
        <v>11.84679</v>
      </c>
      <c r="G604" s="6" t="n">
        <v>76.67291</v>
      </c>
      <c r="H604" s="6" t="n">
        <v>1</v>
      </c>
      <c r="I604" s="6" t="n">
        <v>30</v>
      </c>
      <c r="J604" s="6" t="s">
        <v>36</v>
      </c>
      <c r="K604" s="7" t="b">
        <f aca="false">FALSE()</f>
        <v>0</v>
      </c>
    </row>
    <row r="605" customFormat="false" ht="15" hidden="false" customHeight="false" outlineLevel="0" collapsed="false">
      <c r="A605" s="6" t="n">
        <v>309484</v>
      </c>
      <c r="B605" s="6" t="s">
        <v>967</v>
      </c>
      <c r="C605" s="6" t="s">
        <v>968</v>
      </c>
      <c r="D605" s="6" t="s">
        <v>34</v>
      </c>
      <c r="E605" s="6" t="s">
        <v>35</v>
      </c>
      <c r="F605" s="6" t="n">
        <v>14.847188</v>
      </c>
      <c r="G605" s="6" t="n">
        <v>74.135476</v>
      </c>
      <c r="H605" s="6" t="n">
        <v>1</v>
      </c>
      <c r="I605" s="6" t="n">
        <v>7.2</v>
      </c>
      <c r="J605" s="6" t="s">
        <v>126</v>
      </c>
      <c r="K605" s="7" t="b">
        <f aca="false">FALSE()</f>
        <v>0</v>
      </c>
    </row>
    <row r="606" customFormat="false" ht="15" hidden="false" customHeight="false" outlineLevel="0" collapsed="false">
      <c r="A606" s="6" t="n">
        <v>309483</v>
      </c>
      <c r="B606" s="6" t="s">
        <v>969</v>
      </c>
      <c r="C606" s="6" t="s">
        <v>970</v>
      </c>
      <c r="D606" s="6" t="s">
        <v>34</v>
      </c>
      <c r="E606" s="6" t="s">
        <v>35</v>
      </c>
      <c r="F606" s="6" t="n">
        <v>16.208165</v>
      </c>
      <c r="G606" s="6" t="n">
        <v>77.352467</v>
      </c>
      <c r="H606" s="6" t="n">
        <v>1</v>
      </c>
      <c r="I606" s="6" t="n">
        <v>30</v>
      </c>
      <c r="J606" s="6" t="s">
        <v>36</v>
      </c>
      <c r="K606" s="7" t="b">
        <f aca="false">FALSE()</f>
        <v>0</v>
      </c>
    </row>
    <row r="607" customFormat="false" ht="15" hidden="false" customHeight="false" outlineLevel="0" collapsed="false">
      <c r="A607" s="6" t="n">
        <v>309444</v>
      </c>
      <c r="B607" s="6" t="s">
        <v>971</v>
      </c>
      <c r="C607" s="6" t="s">
        <v>972</v>
      </c>
      <c r="D607" s="6" t="s">
        <v>34</v>
      </c>
      <c r="E607" s="6" t="s">
        <v>35</v>
      </c>
      <c r="F607" s="6" t="n">
        <v>16.749471</v>
      </c>
      <c r="G607" s="6" t="n">
        <v>77.130118</v>
      </c>
      <c r="H607" s="6" t="n">
        <v>1</v>
      </c>
      <c r="I607" s="6" t="n">
        <v>30</v>
      </c>
      <c r="J607" s="6" t="s">
        <v>36</v>
      </c>
      <c r="K607" s="7" t="b">
        <f aca="false">FALSE()</f>
        <v>0</v>
      </c>
    </row>
    <row r="608" customFormat="false" ht="15" hidden="false" customHeight="false" outlineLevel="0" collapsed="false">
      <c r="A608" s="6" t="n">
        <v>309442</v>
      </c>
      <c r="B608" s="6" t="s">
        <v>973</v>
      </c>
      <c r="C608" s="6" t="s">
        <v>974</v>
      </c>
      <c r="D608" s="6" t="s">
        <v>34</v>
      </c>
      <c r="E608" s="6" t="s">
        <v>35</v>
      </c>
      <c r="F608" s="6" t="n">
        <v>16.93447</v>
      </c>
      <c r="G608" s="6" t="n">
        <v>76.26145</v>
      </c>
      <c r="H608" s="6" t="n">
        <v>1</v>
      </c>
      <c r="I608" s="6" t="n">
        <v>60</v>
      </c>
      <c r="J608" s="6" t="s">
        <v>39</v>
      </c>
      <c r="K608" s="7" t="b">
        <f aca="false">TRUE()</f>
        <v>1</v>
      </c>
    </row>
    <row r="609" customFormat="false" ht="15" hidden="false" customHeight="false" outlineLevel="0" collapsed="false">
      <c r="A609" s="6" t="n">
        <v>309441</v>
      </c>
      <c r="B609" s="6" t="s">
        <v>975</v>
      </c>
      <c r="C609" s="6" t="s">
        <v>976</v>
      </c>
      <c r="D609" s="6" t="s">
        <v>34</v>
      </c>
      <c r="E609" s="6" t="s">
        <v>35</v>
      </c>
      <c r="F609" s="6" t="n">
        <v>17.274606</v>
      </c>
      <c r="G609" s="6" t="n">
        <v>76.874074</v>
      </c>
      <c r="H609" s="6" t="n">
        <v>1</v>
      </c>
      <c r="I609" s="6" t="n">
        <v>30</v>
      </c>
      <c r="J609" s="6" t="s">
        <v>36</v>
      </c>
      <c r="K609" s="7" t="b">
        <f aca="false">FALSE()</f>
        <v>0</v>
      </c>
    </row>
    <row r="610" customFormat="false" ht="15" hidden="false" customHeight="false" outlineLevel="0" collapsed="false">
      <c r="A610" s="6" t="n">
        <v>309440</v>
      </c>
      <c r="B610" s="6" t="s">
        <v>977</v>
      </c>
      <c r="C610" s="6" t="s">
        <v>978</v>
      </c>
      <c r="D610" s="6" t="s">
        <v>34</v>
      </c>
      <c r="E610" s="6" t="s">
        <v>35</v>
      </c>
      <c r="F610" s="6" t="n">
        <v>17.32725</v>
      </c>
      <c r="G610" s="6" t="n">
        <v>76.8678</v>
      </c>
      <c r="H610" s="6" t="n">
        <v>1</v>
      </c>
      <c r="I610" s="6" t="n">
        <v>60</v>
      </c>
      <c r="J610" s="6" t="s">
        <v>39</v>
      </c>
      <c r="K610" s="7" t="b">
        <f aca="false">TRUE()</f>
        <v>1</v>
      </c>
    </row>
    <row r="611" customFormat="false" ht="15" hidden="false" customHeight="false" outlineLevel="0" collapsed="false">
      <c r="A611" s="6" t="n">
        <v>309439</v>
      </c>
      <c r="B611" s="6" t="s">
        <v>979</v>
      </c>
      <c r="C611" s="6" t="s">
        <v>980</v>
      </c>
      <c r="D611" s="6" t="s">
        <v>34</v>
      </c>
      <c r="E611" s="6" t="s">
        <v>35</v>
      </c>
      <c r="F611" s="6" t="n">
        <v>17.8286</v>
      </c>
      <c r="G611" s="6" t="n">
        <v>76.90048</v>
      </c>
      <c r="H611" s="6" t="n">
        <v>1</v>
      </c>
      <c r="I611" s="6" t="n">
        <v>30</v>
      </c>
      <c r="J611" s="6" t="s">
        <v>36</v>
      </c>
      <c r="K611" s="7" t="b">
        <f aca="false">FALSE()</f>
        <v>0</v>
      </c>
    </row>
    <row r="612" customFormat="false" ht="15" hidden="false" customHeight="false" outlineLevel="0" collapsed="false">
      <c r="A612" s="6" t="n">
        <v>309438</v>
      </c>
      <c r="B612" s="6" t="s">
        <v>981</v>
      </c>
      <c r="C612" s="6" t="s">
        <v>982</v>
      </c>
      <c r="D612" s="6" t="s">
        <v>34</v>
      </c>
      <c r="E612" s="6" t="s">
        <v>35</v>
      </c>
      <c r="F612" s="6" t="n">
        <v>17.7726</v>
      </c>
      <c r="G612" s="6" t="n">
        <v>77.11402</v>
      </c>
      <c r="H612" s="6" t="n">
        <v>1</v>
      </c>
      <c r="I612" s="6" t="n">
        <v>60</v>
      </c>
      <c r="J612" s="6" t="s">
        <v>39</v>
      </c>
      <c r="K612" s="7" t="b">
        <f aca="false">TRUE()</f>
        <v>1</v>
      </c>
    </row>
    <row r="613" customFormat="false" ht="15" hidden="false" customHeight="false" outlineLevel="0" collapsed="false">
      <c r="A613" s="6" t="n">
        <v>309437</v>
      </c>
      <c r="B613" s="6" t="s">
        <v>983</v>
      </c>
      <c r="C613" s="6" t="s">
        <v>984</v>
      </c>
      <c r="D613" s="6" t="s">
        <v>34</v>
      </c>
      <c r="E613" s="6" t="s">
        <v>35</v>
      </c>
      <c r="F613" s="6" t="n">
        <v>17.7392</v>
      </c>
      <c r="G613" s="6" t="n">
        <v>77.3347</v>
      </c>
      <c r="H613" s="6" t="n">
        <v>1</v>
      </c>
      <c r="I613" s="6" t="n">
        <v>90</v>
      </c>
      <c r="J613" s="6" t="s">
        <v>39</v>
      </c>
      <c r="K613" s="7" t="b">
        <f aca="false">TRUE()</f>
        <v>1</v>
      </c>
    </row>
    <row r="614" customFormat="false" ht="15" hidden="false" customHeight="false" outlineLevel="0" collapsed="false">
      <c r="A614" s="6" t="n">
        <v>309436</v>
      </c>
      <c r="B614" s="6" t="s">
        <v>985</v>
      </c>
      <c r="C614" s="6" t="s">
        <v>986</v>
      </c>
      <c r="D614" s="6" t="s">
        <v>34</v>
      </c>
      <c r="E614" s="6" t="s">
        <v>35</v>
      </c>
      <c r="F614" s="6" t="n">
        <v>17.79618</v>
      </c>
      <c r="G614" s="6" t="n">
        <v>77.42225</v>
      </c>
      <c r="H614" s="6" t="n">
        <v>1</v>
      </c>
      <c r="I614" s="6" t="n">
        <v>30</v>
      </c>
      <c r="J614" s="6" t="s">
        <v>36</v>
      </c>
      <c r="K614" s="7" t="b">
        <f aca="false">FALSE()</f>
        <v>0</v>
      </c>
    </row>
    <row r="615" customFormat="false" ht="15" hidden="false" customHeight="false" outlineLevel="0" collapsed="false">
      <c r="A615" s="6" t="n">
        <v>309435</v>
      </c>
      <c r="B615" s="6" t="s">
        <v>987</v>
      </c>
      <c r="C615" s="6" t="s">
        <v>988</v>
      </c>
      <c r="D615" s="6" t="s">
        <v>34</v>
      </c>
      <c r="E615" s="6" t="s">
        <v>35</v>
      </c>
      <c r="F615" s="6" t="n">
        <v>17.15414</v>
      </c>
      <c r="G615" s="6" t="n">
        <v>75.79103</v>
      </c>
      <c r="H615" s="6" t="n">
        <v>1</v>
      </c>
      <c r="I615" s="6" t="n">
        <v>30</v>
      </c>
      <c r="J615" s="6" t="s">
        <v>36</v>
      </c>
      <c r="K615" s="7" t="b">
        <f aca="false">FALSE()</f>
        <v>0</v>
      </c>
    </row>
    <row r="616" customFormat="false" ht="15" hidden="false" customHeight="false" outlineLevel="0" collapsed="false">
      <c r="A616" s="6" t="n">
        <v>309427</v>
      </c>
      <c r="B616" s="6" t="s">
        <v>989</v>
      </c>
      <c r="C616" s="6" t="s">
        <v>990</v>
      </c>
      <c r="D616" s="6" t="s">
        <v>34</v>
      </c>
      <c r="E616" s="6" t="s">
        <v>35</v>
      </c>
      <c r="F616" s="6" t="n">
        <v>16.849168</v>
      </c>
      <c r="G616" s="6" t="n">
        <v>75.734976</v>
      </c>
      <c r="H616" s="6" t="n">
        <v>1</v>
      </c>
      <c r="I616" s="6" t="n">
        <v>30</v>
      </c>
      <c r="J616" s="6" t="s">
        <v>36</v>
      </c>
      <c r="K616" s="7" t="b">
        <f aca="false">FALSE()</f>
        <v>0</v>
      </c>
    </row>
    <row r="617" customFormat="false" ht="15" hidden="false" customHeight="false" outlineLevel="0" collapsed="false">
      <c r="A617" s="6" t="n">
        <v>309426</v>
      </c>
      <c r="B617" s="6" t="s">
        <v>991</v>
      </c>
      <c r="C617" s="6" t="s">
        <v>990</v>
      </c>
      <c r="D617" s="6" t="s">
        <v>34</v>
      </c>
      <c r="E617" s="6" t="s">
        <v>35</v>
      </c>
      <c r="F617" s="6" t="n">
        <v>16.81325</v>
      </c>
      <c r="G617" s="6" t="n">
        <v>75.7416</v>
      </c>
      <c r="H617" s="6" t="n">
        <v>1</v>
      </c>
      <c r="I617" s="6" t="n">
        <v>60</v>
      </c>
      <c r="J617" s="6" t="s">
        <v>39</v>
      </c>
      <c r="K617" s="7" t="b">
        <f aca="false">TRUE()</f>
        <v>1</v>
      </c>
    </row>
    <row r="618" customFormat="false" ht="15" hidden="false" customHeight="false" outlineLevel="0" collapsed="false">
      <c r="A618" s="6" t="n">
        <v>309425</v>
      </c>
      <c r="B618" s="6" t="s">
        <v>992</v>
      </c>
      <c r="C618" s="6" t="s">
        <v>993</v>
      </c>
      <c r="D618" s="6" t="s">
        <v>34</v>
      </c>
      <c r="E618" s="6" t="s">
        <v>35</v>
      </c>
      <c r="F618" s="6" t="n">
        <v>16.664507</v>
      </c>
      <c r="G618" s="6" t="n">
        <v>75.805005</v>
      </c>
      <c r="H618" s="6" t="n">
        <v>1</v>
      </c>
      <c r="I618" s="6" t="n">
        <v>60</v>
      </c>
      <c r="J618" s="6" t="s">
        <v>39</v>
      </c>
      <c r="K618" s="7" t="b">
        <f aca="false">TRUE()</f>
        <v>1</v>
      </c>
    </row>
    <row r="619" customFormat="false" ht="15" hidden="false" customHeight="false" outlineLevel="0" collapsed="false">
      <c r="A619" s="6" t="n">
        <v>309423</v>
      </c>
      <c r="B619" s="6" t="s">
        <v>994</v>
      </c>
      <c r="C619" s="6" t="s">
        <v>995</v>
      </c>
      <c r="D619" s="6" t="s">
        <v>34</v>
      </c>
      <c r="E619" s="6" t="s">
        <v>35</v>
      </c>
      <c r="F619" s="6" t="n">
        <v>16.053005</v>
      </c>
      <c r="G619" s="6" t="n">
        <v>76.065771</v>
      </c>
      <c r="H619" s="6" t="n">
        <v>1</v>
      </c>
      <c r="I619" s="6" t="n">
        <v>60</v>
      </c>
      <c r="J619" s="6" t="s">
        <v>39</v>
      </c>
      <c r="K619" s="7" t="b">
        <f aca="false">TRUE()</f>
        <v>1</v>
      </c>
    </row>
    <row r="620" customFormat="false" ht="15" hidden="false" customHeight="false" outlineLevel="0" collapsed="false">
      <c r="A620" s="6" t="n">
        <v>309422</v>
      </c>
      <c r="B620" s="6" t="s">
        <v>996</v>
      </c>
      <c r="C620" s="6" t="s">
        <v>997</v>
      </c>
      <c r="D620" s="6" t="s">
        <v>34</v>
      </c>
      <c r="E620" s="6" t="s">
        <v>35</v>
      </c>
      <c r="F620" s="6" t="n">
        <v>15.99107</v>
      </c>
      <c r="G620" s="6" t="n">
        <v>76.10002</v>
      </c>
      <c r="H620" s="6" t="n">
        <v>1</v>
      </c>
      <c r="I620" s="6" t="n">
        <v>60</v>
      </c>
      <c r="J620" s="6" t="s">
        <v>39</v>
      </c>
      <c r="K620" s="7" t="b">
        <f aca="false">TRUE()</f>
        <v>1</v>
      </c>
    </row>
    <row r="621" customFormat="false" ht="15" hidden="false" customHeight="false" outlineLevel="0" collapsed="false">
      <c r="A621" s="6" t="n">
        <v>309387</v>
      </c>
      <c r="B621" s="6" t="s">
        <v>998</v>
      </c>
      <c r="C621" s="6" t="s">
        <v>999</v>
      </c>
      <c r="D621" s="6" t="s">
        <v>726</v>
      </c>
      <c r="E621" s="6" t="s">
        <v>35</v>
      </c>
      <c r="F621" s="6" t="n">
        <v>17</v>
      </c>
      <c r="G621" s="6" t="n">
        <v>78.561178</v>
      </c>
      <c r="H621" s="6" t="n">
        <v>1</v>
      </c>
      <c r="I621" s="6" t="n">
        <v>80</v>
      </c>
      <c r="J621" s="6" t="s">
        <v>39</v>
      </c>
      <c r="K621" s="7" t="b">
        <f aca="false">TRUE()</f>
        <v>1</v>
      </c>
    </row>
    <row r="622" customFormat="false" ht="15" hidden="false" customHeight="false" outlineLevel="0" collapsed="false">
      <c r="A622" s="6" t="n">
        <v>309370</v>
      </c>
      <c r="B622" s="6" t="s">
        <v>1000</v>
      </c>
      <c r="C622" s="6" t="s">
        <v>1001</v>
      </c>
      <c r="D622" s="6" t="s">
        <v>34</v>
      </c>
      <c r="E622" s="6" t="s">
        <v>35</v>
      </c>
      <c r="F622" s="6" t="n">
        <v>15.638844</v>
      </c>
      <c r="G622" s="6" t="n">
        <v>76.220211</v>
      </c>
      <c r="H622" s="6" t="n">
        <v>1</v>
      </c>
      <c r="I622" s="6" t="n">
        <v>60</v>
      </c>
      <c r="J622" s="6" t="s">
        <v>39</v>
      </c>
      <c r="K622" s="7" t="b">
        <f aca="false">TRUE()</f>
        <v>1</v>
      </c>
    </row>
    <row r="623" customFormat="false" ht="15" hidden="false" customHeight="false" outlineLevel="0" collapsed="false">
      <c r="A623" s="6" t="n">
        <v>309369</v>
      </c>
      <c r="B623" s="6" t="s">
        <v>1002</v>
      </c>
      <c r="C623" s="6" t="s">
        <v>1003</v>
      </c>
      <c r="D623" s="6" t="s">
        <v>34</v>
      </c>
      <c r="E623" s="6" t="s">
        <v>35</v>
      </c>
      <c r="F623" s="6" t="n">
        <v>16.18182</v>
      </c>
      <c r="G623" s="6" t="n">
        <v>75.63617</v>
      </c>
      <c r="H623" s="6" t="n">
        <v>1</v>
      </c>
      <c r="I623" s="6" t="n">
        <v>30</v>
      </c>
      <c r="J623" s="6" t="s">
        <v>36</v>
      </c>
      <c r="K623" s="7" t="b">
        <f aca="false">FALSE()</f>
        <v>0</v>
      </c>
    </row>
    <row r="624" customFormat="false" ht="15" hidden="false" customHeight="false" outlineLevel="0" collapsed="false">
      <c r="A624" s="6" t="n">
        <v>309368</v>
      </c>
      <c r="B624" s="6" t="s">
        <v>1004</v>
      </c>
      <c r="C624" s="6" t="s">
        <v>1005</v>
      </c>
      <c r="D624" s="6" t="s">
        <v>34</v>
      </c>
      <c r="E624" s="6" t="s">
        <v>35</v>
      </c>
      <c r="F624" s="6" t="n">
        <v>15.92777</v>
      </c>
      <c r="G624" s="6" t="n">
        <v>74.532332</v>
      </c>
      <c r="H624" s="6" t="n">
        <v>1</v>
      </c>
      <c r="I624" s="6" t="n">
        <v>60</v>
      </c>
      <c r="J624" s="6" t="s">
        <v>39</v>
      </c>
      <c r="K624" s="7" t="b">
        <f aca="false">TRUE()</f>
        <v>1</v>
      </c>
    </row>
    <row r="625" customFormat="false" ht="15" hidden="false" customHeight="false" outlineLevel="0" collapsed="false">
      <c r="A625" s="6" t="n">
        <v>309367</v>
      </c>
      <c r="B625" s="6" t="s">
        <v>1006</v>
      </c>
      <c r="C625" s="6" t="s">
        <v>1007</v>
      </c>
      <c r="D625" s="6" t="s">
        <v>34</v>
      </c>
      <c r="E625" s="6" t="s">
        <v>35</v>
      </c>
      <c r="F625" s="6" t="n">
        <v>15.512047</v>
      </c>
      <c r="G625" s="6" t="n">
        <v>74.94282</v>
      </c>
      <c r="H625" s="6" t="n">
        <v>1</v>
      </c>
      <c r="I625" s="6" t="n">
        <v>60</v>
      </c>
      <c r="J625" s="6" t="s">
        <v>39</v>
      </c>
      <c r="K625" s="7" t="b">
        <f aca="false">TRUE()</f>
        <v>1</v>
      </c>
    </row>
    <row r="626" customFormat="false" ht="15" hidden="false" customHeight="false" outlineLevel="0" collapsed="false">
      <c r="A626" s="6" t="n">
        <v>309357</v>
      </c>
      <c r="B626" s="6" t="s">
        <v>1008</v>
      </c>
      <c r="C626" s="6" t="s">
        <v>1009</v>
      </c>
      <c r="D626" s="6" t="s">
        <v>34</v>
      </c>
      <c r="E626" s="6" t="s">
        <v>35</v>
      </c>
      <c r="F626" s="6" t="n">
        <v>15.14327</v>
      </c>
      <c r="G626" s="6" t="n">
        <v>77.0632</v>
      </c>
      <c r="H626" s="6" t="n">
        <v>1</v>
      </c>
      <c r="I626" s="6" t="n">
        <v>60</v>
      </c>
      <c r="J626" s="6" t="s">
        <v>39</v>
      </c>
      <c r="K626" s="7" t="b">
        <f aca="false">TRUE()</f>
        <v>1</v>
      </c>
    </row>
    <row r="627" customFormat="false" ht="15" hidden="false" customHeight="false" outlineLevel="0" collapsed="false">
      <c r="A627" s="6" t="n">
        <v>309356</v>
      </c>
      <c r="B627" s="6" t="s">
        <v>1010</v>
      </c>
      <c r="C627" s="6" t="s">
        <v>1011</v>
      </c>
      <c r="D627" s="6" t="s">
        <v>34</v>
      </c>
      <c r="E627" s="6" t="s">
        <v>35</v>
      </c>
      <c r="F627" s="6" t="n">
        <v>15.14016</v>
      </c>
      <c r="G627" s="6" t="n">
        <v>76.97093</v>
      </c>
      <c r="H627" s="6" t="n">
        <v>1</v>
      </c>
      <c r="I627" s="6" t="n">
        <v>60</v>
      </c>
      <c r="J627" s="6" t="s">
        <v>39</v>
      </c>
      <c r="K627" s="7" t="b">
        <f aca="false">TRUE()</f>
        <v>1</v>
      </c>
    </row>
    <row r="628" customFormat="false" ht="15" hidden="false" customHeight="false" outlineLevel="0" collapsed="false">
      <c r="A628" s="6" t="n">
        <v>309355</v>
      </c>
      <c r="B628" s="6" t="s">
        <v>1012</v>
      </c>
      <c r="C628" s="6" t="s">
        <v>1011</v>
      </c>
      <c r="D628" s="6" t="s">
        <v>34</v>
      </c>
      <c r="E628" s="6" t="s">
        <v>35</v>
      </c>
      <c r="F628" s="6" t="n">
        <v>15.1624</v>
      </c>
      <c r="G628" s="6" t="n">
        <v>76.86862</v>
      </c>
      <c r="H628" s="6" t="n">
        <v>1</v>
      </c>
      <c r="I628" s="6" t="n">
        <v>30</v>
      </c>
      <c r="J628" s="6" t="s">
        <v>36</v>
      </c>
      <c r="K628" s="7" t="b">
        <f aca="false">FALSE()</f>
        <v>0</v>
      </c>
    </row>
    <row r="629" customFormat="false" ht="15" hidden="false" customHeight="false" outlineLevel="0" collapsed="false">
      <c r="A629" s="6" t="n">
        <v>309354</v>
      </c>
      <c r="B629" s="6" t="s">
        <v>1013</v>
      </c>
      <c r="C629" s="6" t="s">
        <v>1014</v>
      </c>
      <c r="D629" s="6" t="s">
        <v>747</v>
      </c>
      <c r="E629" s="6" t="s">
        <v>35</v>
      </c>
      <c r="F629" s="6" t="n">
        <v>15.7612</v>
      </c>
      <c r="G629" s="6" t="n">
        <v>77.46571</v>
      </c>
      <c r="H629" s="6" t="n">
        <v>1</v>
      </c>
      <c r="I629" s="6" t="n">
        <v>30</v>
      </c>
      <c r="J629" s="6" t="s">
        <v>36</v>
      </c>
      <c r="K629" s="7" t="b">
        <f aca="false">FALSE()</f>
        <v>0</v>
      </c>
    </row>
    <row r="630" customFormat="false" ht="15" hidden="false" customHeight="false" outlineLevel="0" collapsed="false">
      <c r="A630" s="6" t="n">
        <v>309353</v>
      </c>
      <c r="B630" s="6" t="s">
        <v>1015</v>
      </c>
      <c r="C630" s="6" t="s">
        <v>1016</v>
      </c>
      <c r="D630" s="6" t="s">
        <v>747</v>
      </c>
      <c r="E630" s="6" t="s">
        <v>35</v>
      </c>
      <c r="F630" s="6" t="n">
        <v>15.94075</v>
      </c>
      <c r="G630" s="6" t="n">
        <v>77.42351</v>
      </c>
      <c r="H630" s="6" t="n">
        <v>1</v>
      </c>
      <c r="I630" s="6" t="n">
        <v>30</v>
      </c>
      <c r="J630" s="6" t="s">
        <v>36</v>
      </c>
      <c r="K630" s="7" t="b">
        <f aca="false">FALSE()</f>
        <v>0</v>
      </c>
    </row>
    <row r="631" customFormat="false" ht="15" hidden="false" customHeight="false" outlineLevel="0" collapsed="false">
      <c r="A631" s="6" t="n">
        <v>309352</v>
      </c>
      <c r="B631" s="6" t="s">
        <v>1017</v>
      </c>
      <c r="C631" s="6" t="s">
        <v>951</v>
      </c>
      <c r="D631" s="6" t="s">
        <v>34</v>
      </c>
      <c r="E631" s="6" t="s">
        <v>35</v>
      </c>
      <c r="F631" s="6" t="n">
        <v>13.08468</v>
      </c>
      <c r="G631" s="6" t="n">
        <v>77.41488</v>
      </c>
      <c r="H631" s="6" t="n">
        <v>1</v>
      </c>
      <c r="I631" s="6" t="n">
        <v>60</v>
      </c>
      <c r="J631" s="6" t="s">
        <v>39</v>
      </c>
      <c r="K631" s="7" t="b">
        <f aca="false">TRUE()</f>
        <v>1</v>
      </c>
    </row>
    <row r="632" customFormat="false" ht="15" hidden="false" customHeight="false" outlineLevel="0" collapsed="false">
      <c r="A632" s="6" t="n">
        <v>309351</v>
      </c>
      <c r="B632" s="6" t="s">
        <v>1018</v>
      </c>
      <c r="C632" s="6" t="s">
        <v>951</v>
      </c>
      <c r="D632" s="6" t="s">
        <v>34</v>
      </c>
      <c r="E632" s="6" t="s">
        <v>35</v>
      </c>
      <c r="F632" s="6" t="n">
        <v>13.014903</v>
      </c>
      <c r="G632" s="6" t="n">
        <v>77.646205</v>
      </c>
      <c r="H632" s="6" t="n">
        <v>1</v>
      </c>
      <c r="I632" s="6" t="n">
        <v>30</v>
      </c>
      <c r="J632" s="6" t="s">
        <v>36</v>
      </c>
      <c r="K632" s="7" t="b">
        <f aca="false">FALSE()</f>
        <v>0</v>
      </c>
    </row>
    <row r="633" customFormat="false" ht="15" hidden="false" customHeight="false" outlineLevel="0" collapsed="false">
      <c r="A633" s="6" t="n">
        <v>309350</v>
      </c>
      <c r="B633" s="6" t="s">
        <v>1019</v>
      </c>
      <c r="C633" s="6" t="s">
        <v>951</v>
      </c>
      <c r="D633" s="6" t="s">
        <v>34</v>
      </c>
      <c r="E633" s="6" t="s">
        <v>35</v>
      </c>
      <c r="F633" s="6" t="n">
        <v>12.99577</v>
      </c>
      <c r="G633" s="6" t="n">
        <v>77.6847</v>
      </c>
      <c r="H633" s="6" t="n">
        <v>1</v>
      </c>
      <c r="I633" s="6" t="n">
        <v>50</v>
      </c>
      <c r="J633" s="6" t="s">
        <v>39</v>
      </c>
      <c r="K633" s="7" t="b">
        <f aca="false">TRUE()</f>
        <v>1</v>
      </c>
    </row>
    <row r="634" customFormat="false" ht="15" hidden="false" customHeight="false" outlineLevel="0" collapsed="false">
      <c r="A634" s="6" t="n">
        <v>309349</v>
      </c>
      <c r="B634" s="6" t="s">
        <v>1020</v>
      </c>
      <c r="C634" s="6" t="s">
        <v>951</v>
      </c>
      <c r="D634" s="6" t="s">
        <v>34</v>
      </c>
      <c r="E634" s="6" t="s">
        <v>35</v>
      </c>
      <c r="F634" s="6" t="n">
        <v>12.994306</v>
      </c>
      <c r="G634" s="6" t="n">
        <v>77.699295</v>
      </c>
      <c r="H634" s="6" t="n">
        <v>4</v>
      </c>
      <c r="I634" s="6" t="n">
        <v>60</v>
      </c>
      <c r="J634" s="6" t="s">
        <v>39</v>
      </c>
      <c r="K634" s="7" t="b">
        <f aca="false">TRUE()</f>
        <v>1</v>
      </c>
    </row>
    <row r="635" customFormat="false" ht="15" hidden="false" customHeight="false" outlineLevel="0" collapsed="false">
      <c r="A635" s="6" t="n">
        <v>309348</v>
      </c>
      <c r="B635" s="6" t="s">
        <v>1021</v>
      </c>
      <c r="C635" s="6" t="s">
        <v>951</v>
      </c>
      <c r="D635" s="6" t="s">
        <v>34</v>
      </c>
      <c r="E635" s="6" t="s">
        <v>35</v>
      </c>
      <c r="F635" s="6" t="n">
        <v>12.985769</v>
      </c>
      <c r="G635" s="6" t="n">
        <v>77.708562</v>
      </c>
      <c r="H635" s="6" t="n">
        <v>1</v>
      </c>
      <c r="I635" s="6" t="n">
        <v>150</v>
      </c>
      <c r="J635" s="6" t="s">
        <v>748</v>
      </c>
      <c r="K635" s="7" t="b">
        <f aca="false">TRUE()</f>
        <v>1</v>
      </c>
    </row>
    <row r="636" customFormat="false" ht="15" hidden="false" customHeight="false" outlineLevel="0" collapsed="false">
      <c r="A636" s="6" t="n">
        <v>309347</v>
      </c>
      <c r="B636" s="6" t="s">
        <v>1022</v>
      </c>
      <c r="C636" s="6" t="s">
        <v>951</v>
      </c>
      <c r="D636" s="6" t="s">
        <v>34</v>
      </c>
      <c r="E636" s="6" t="s">
        <v>35</v>
      </c>
      <c r="F636" s="6" t="n">
        <v>12.984136</v>
      </c>
      <c r="G636" s="6" t="n">
        <v>77.708112</v>
      </c>
      <c r="H636" s="6" t="n">
        <v>1</v>
      </c>
      <c r="I636" s="6" t="n">
        <v>50</v>
      </c>
      <c r="J636" s="6" t="s">
        <v>39</v>
      </c>
      <c r="K636" s="7" t="b">
        <f aca="false">TRUE()</f>
        <v>1</v>
      </c>
    </row>
    <row r="637" customFormat="false" ht="15" hidden="false" customHeight="false" outlineLevel="0" collapsed="false">
      <c r="A637" s="6" t="n">
        <v>309346</v>
      </c>
      <c r="B637" s="6" t="s">
        <v>1023</v>
      </c>
      <c r="C637" s="6" t="s">
        <v>951</v>
      </c>
      <c r="D637" s="6" t="s">
        <v>34</v>
      </c>
      <c r="E637" s="6" t="s">
        <v>35</v>
      </c>
      <c r="F637" s="6" t="n">
        <v>12.98306</v>
      </c>
      <c r="G637" s="6" t="n">
        <v>77.70906</v>
      </c>
      <c r="H637" s="6" t="n">
        <v>1</v>
      </c>
      <c r="I637" s="6" t="n">
        <v>60</v>
      </c>
      <c r="J637" s="6" t="s">
        <v>39</v>
      </c>
      <c r="K637" s="7" t="b">
        <f aca="false">TRUE()</f>
        <v>1</v>
      </c>
    </row>
    <row r="638" customFormat="false" ht="15" hidden="false" customHeight="false" outlineLevel="0" collapsed="false">
      <c r="A638" s="6" t="n">
        <v>309345</v>
      </c>
      <c r="B638" s="6" t="s">
        <v>1024</v>
      </c>
      <c r="C638" s="6" t="s">
        <v>951</v>
      </c>
      <c r="D638" s="6" t="s">
        <v>34</v>
      </c>
      <c r="E638" s="6" t="s">
        <v>35</v>
      </c>
      <c r="F638" s="6" t="n">
        <v>12.981842</v>
      </c>
      <c r="G638" s="6" t="n">
        <v>77.708633</v>
      </c>
      <c r="H638" s="6" t="n">
        <v>1</v>
      </c>
      <c r="I638" s="6" t="n">
        <v>30</v>
      </c>
      <c r="J638" s="6" t="s">
        <v>36</v>
      </c>
      <c r="K638" s="7" t="b">
        <f aca="false">FALSE()</f>
        <v>0</v>
      </c>
    </row>
    <row r="639" customFormat="false" ht="15" hidden="false" customHeight="false" outlineLevel="0" collapsed="false">
      <c r="A639" s="6" t="n">
        <v>309344</v>
      </c>
      <c r="B639" s="6" t="s">
        <v>1025</v>
      </c>
      <c r="C639" s="6" t="s">
        <v>951</v>
      </c>
      <c r="D639" s="6" t="s">
        <v>34</v>
      </c>
      <c r="E639" s="6" t="s">
        <v>35</v>
      </c>
      <c r="F639" s="6" t="n">
        <v>12.9726</v>
      </c>
      <c r="G639" s="6" t="n">
        <v>77.711457</v>
      </c>
      <c r="H639" s="6" t="n">
        <v>1</v>
      </c>
      <c r="I639" s="6" t="n">
        <v>60</v>
      </c>
      <c r="J639" s="6" t="s">
        <v>39</v>
      </c>
      <c r="K639" s="7" t="b">
        <f aca="false">TRUE()</f>
        <v>1</v>
      </c>
    </row>
    <row r="640" customFormat="false" ht="15" hidden="false" customHeight="false" outlineLevel="0" collapsed="false">
      <c r="A640" s="6" t="n">
        <v>309343</v>
      </c>
      <c r="B640" s="6" t="s">
        <v>1026</v>
      </c>
      <c r="C640" s="6" t="s">
        <v>951</v>
      </c>
      <c r="D640" s="6" t="s">
        <v>34</v>
      </c>
      <c r="E640" s="6" t="s">
        <v>35</v>
      </c>
      <c r="F640" s="6" t="n">
        <v>12.967124</v>
      </c>
      <c r="G640" s="6" t="n">
        <v>77.716962</v>
      </c>
      <c r="H640" s="6" t="n">
        <v>1</v>
      </c>
      <c r="I640" s="6" t="n">
        <v>25</v>
      </c>
      <c r="J640" s="6" t="s">
        <v>36</v>
      </c>
      <c r="K640" s="7" t="b">
        <f aca="false">FALSE()</f>
        <v>0</v>
      </c>
    </row>
    <row r="641" customFormat="false" ht="15" hidden="false" customHeight="false" outlineLevel="0" collapsed="false">
      <c r="A641" s="6" t="n">
        <v>309342</v>
      </c>
      <c r="B641" s="6" t="s">
        <v>1027</v>
      </c>
      <c r="C641" s="6" t="s">
        <v>951</v>
      </c>
      <c r="D641" s="6" t="s">
        <v>34</v>
      </c>
      <c r="E641" s="6" t="s">
        <v>35</v>
      </c>
      <c r="F641" s="6" t="n">
        <v>12.963582</v>
      </c>
      <c r="G641" s="6" t="n">
        <v>77.71738</v>
      </c>
      <c r="H641" s="6" t="n">
        <v>1</v>
      </c>
      <c r="I641" s="6" t="n">
        <v>25</v>
      </c>
      <c r="J641" s="6" t="s">
        <v>36</v>
      </c>
      <c r="K641" s="7" t="b">
        <f aca="false">FALSE()</f>
        <v>0</v>
      </c>
    </row>
    <row r="642" customFormat="false" ht="15" hidden="false" customHeight="false" outlineLevel="0" collapsed="false">
      <c r="A642" s="6" t="n">
        <v>309341</v>
      </c>
      <c r="B642" s="6" t="s">
        <v>1028</v>
      </c>
      <c r="C642" s="6" t="s">
        <v>951</v>
      </c>
      <c r="D642" s="6" t="s">
        <v>34</v>
      </c>
      <c r="E642" s="6" t="s">
        <v>35</v>
      </c>
      <c r="F642" s="6" t="n">
        <v>12.96316</v>
      </c>
      <c r="G642" s="6" t="n">
        <v>77.71814</v>
      </c>
      <c r="H642" s="6" t="n">
        <v>1</v>
      </c>
      <c r="I642" s="6" t="n">
        <v>60</v>
      </c>
      <c r="J642" s="6" t="s">
        <v>39</v>
      </c>
      <c r="K642" s="7" t="b">
        <f aca="false">TRUE()</f>
        <v>1</v>
      </c>
    </row>
    <row r="643" customFormat="false" ht="15" hidden="false" customHeight="false" outlineLevel="0" collapsed="false">
      <c r="A643" s="6" t="n">
        <v>309340</v>
      </c>
      <c r="B643" s="6" t="s">
        <v>1029</v>
      </c>
      <c r="C643" s="6" t="s">
        <v>951</v>
      </c>
      <c r="D643" s="6" t="s">
        <v>34</v>
      </c>
      <c r="E643" s="6" t="s">
        <v>35</v>
      </c>
      <c r="F643" s="6" t="n">
        <v>12.957173</v>
      </c>
      <c r="G643" s="6" t="n">
        <v>77.729546</v>
      </c>
      <c r="H643" s="6" t="n">
        <v>1</v>
      </c>
      <c r="I643" s="6" t="n">
        <v>60</v>
      </c>
      <c r="J643" s="6" t="s">
        <v>39</v>
      </c>
      <c r="K643" s="7" t="b">
        <f aca="false">TRUE()</f>
        <v>1</v>
      </c>
    </row>
    <row r="644" customFormat="false" ht="15" hidden="false" customHeight="false" outlineLevel="0" collapsed="false">
      <c r="A644" s="6" t="n">
        <v>309339</v>
      </c>
      <c r="B644" s="6" t="s">
        <v>1030</v>
      </c>
      <c r="C644" s="6" t="s">
        <v>951</v>
      </c>
      <c r="D644" s="6" t="s">
        <v>34</v>
      </c>
      <c r="E644" s="6" t="s">
        <v>35</v>
      </c>
      <c r="F644" s="6" t="n">
        <v>12.97099</v>
      </c>
      <c r="G644" s="6" t="n">
        <v>77.725024</v>
      </c>
      <c r="H644" s="6" t="n">
        <v>1</v>
      </c>
      <c r="I644" s="6" t="n">
        <v>60</v>
      </c>
      <c r="J644" s="6" t="s">
        <v>39</v>
      </c>
      <c r="K644" s="7" t="b">
        <f aca="false">TRUE()</f>
        <v>1</v>
      </c>
    </row>
    <row r="645" customFormat="false" ht="15" hidden="false" customHeight="false" outlineLevel="0" collapsed="false">
      <c r="A645" s="6" t="n">
        <v>309338</v>
      </c>
      <c r="B645" s="6" t="s">
        <v>1031</v>
      </c>
      <c r="C645" s="6" t="s">
        <v>951</v>
      </c>
      <c r="D645" s="6" t="s">
        <v>34</v>
      </c>
      <c r="E645" s="6" t="s">
        <v>35</v>
      </c>
      <c r="F645" s="6" t="n">
        <v>12.979262</v>
      </c>
      <c r="G645" s="6" t="n">
        <v>77.727448</v>
      </c>
      <c r="H645" s="6" t="n">
        <v>1</v>
      </c>
      <c r="I645" s="6" t="n">
        <v>30</v>
      </c>
      <c r="J645" s="6" t="s">
        <v>36</v>
      </c>
      <c r="K645" s="7" t="b">
        <f aca="false">FALSE()</f>
        <v>0</v>
      </c>
    </row>
    <row r="646" customFormat="false" ht="15" hidden="false" customHeight="false" outlineLevel="0" collapsed="false">
      <c r="A646" s="6" t="n">
        <v>309337</v>
      </c>
      <c r="B646" s="6" t="s">
        <v>1032</v>
      </c>
      <c r="C646" s="6" t="s">
        <v>951</v>
      </c>
      <c r="D646" s="6" t="s">
        <v>34</v>
      </c>
      <c r="E646" s="6" t="s">
        <v>35</v>
      </c>
      <c r="F646" s="6" t="n">
        <v>12.98904</v>
      </c>
      <c r="G646" s="6" t="n">
        <v>77.727584</v>
      </c>
      <c r="H646" s="6" t="n">
        <v>1</v>
      </c>
      <c r="I646" s="6" t="n">
        <v>60</v>
      </c>
      <c r="J646" s="6" t="s">
        <v>39</v>
      </c>
      <c r="K646" s="7" t="b">
        <f aca="false">TRUE()</f>
        <v>1</v>
      </c>
    </row>
    <row r="647" customFormat="false" ht="15" hidden="false" customHeight="false" outlineLevel="0" collapsed="false">
      <c r="A647" s="6" t="n">
        <v>309336</v>
      </c>
      <c r="B647" s="6" t="s">
        <v>1033</v>
      </c>
      <c r="C647" s="6" t="s">
        <v>951</v>
      </c>
      <c r="D647" s="6" t="s">
        <v>34</v>
      </c>
      <c r="E647" s="6" t="s">
        <v>35</v>
      </c>
      <c r="F647" s="6" t="n">
        <v>12.989066</v>
      </c>
      <c r="G647" s="6" t="n">
        <v>77.727604</v>
      </c>
      <c r="H647" s="6" t="n">
        <v>1</v>
      </c>
      <c r="I647" s="6" t="n">
        <v>60</v>
      </c>
      <c r="J647" s="6" t="s">
        <v>39</v>
      </c>
      <c r="K647" s="7" t="b">
        <f aca="false">TRUE()</f>
        <v>1</v>
      </c>
    </row>
    <row r="648" customFormat="false" ht="15" hidden="false" customHeight="false" outlineLevel="0" collapsed="false">
      <c r="A648" s="6" t="n">
        <v>309335</v>
      </c>
      <c r="B648" s="6" t="s">
        <v>1034</v>
      </c>
      <c r="C648" s="6" t="s">
        <v>951</v>
      </c>
      <c r="D648" s="6" t="s">
        <v>34</v>
      </c>
      <c r="E648" s="6" t="s">
        <v>35</v>
      </c>
      <c r="F648" s="6" t="n">
        <v>12.989215</v>
      </c>
      <c r="G648" s="6" t="n">
        <v>77.729619</v>
      </c>
      <c r="H648" s="6" t="n">
        <v>1</v>
      </c>
      <c r="I648" s="6" t="n">
        <v>30</v>
      </c>
      <c r="J648" s="6" t="s">
        <v>36</v>
      </c>
      <c r="K648" s="7" t="b">
        <f aca="false">FALSE()</f>
        <v>0</v>
      </c>
    </row>
    <row r="649" customFormat="false" ht="15" hidden="false" customHeight="false" outlineLevel="0" collapsed="false">
      <c r="A649" s="6" t="n">
        <v>309334</v>
      </c>
      <c r="B649" s="6" t="s">
        <v>1035</v>
      </c>
      <c r="C649" s="6" t="s">
        <v>951</v>
      </c>
      <c r="D649" s="6" t="s">
        <v>34</v>
      </c>
      <c r="E649" s="6" t="s">
        <v>35</v>
      </c>
      <c r="F649" s="6" t="n">
        <v>12.986347</v>
      </c>
      <c r="G649" s="6" t="n">
        <v>77.730384</v>
      </c>
      <c r="H649" s="6" t="n">
        <v>1</v>
      </c>
      <c r="I649" s="6" t="n">
        <v>60</v>
      </c>
      <c r="J649" s="6" t="s">
        <v>39</v>
      </c>
      <c r="K649" s="7" t="b">
        <f aca="false">TRUE()</f>
        <v>1</v>
      </c>
    </row>
    <row r="650" customFormat="false" ht="15" hidden="false" customHeight="false" outlineLevel="0" collapsed="false">
      <c r="A650" s="6" t="n">
        <v>309333</v>
      </c>
      <c r="B650" s="6" t="s">
        <v>1036</v>
      </c>
      <c r="C650" s="6" t="s">
        <v>951</v>
      </c>
      <c r="D650" s="6" t="s">
        <v>34</v>
      </c>
      <c r="E650" s="6" t="s">
        <v>35</v>
      </c>
      <c r="F650" s="6" t="n">
        <v>12.98728</v>
      </c>
      <c r="G650" s="6" t="n">
        <v>77.736282</v>
      </c>
      <c r="H650" s="6" t="n">
        <v>1</v>
      </c>
      <c r="I650" s="6" t="n">
        <v>25</v>
      </c>
      <c r="J650" s="6" t="s">
        <v>36</v>
      </c>
      <c r="K650" s="7" t="b">
        <f aca="false">FALSE()</f>
        <v>0</v>
      </c>
    </row>
    <row r="651" customFormat="false" ht="15" hidden="false" customHeight="false" outlineLevel="0" collapsed="false">
      <c r="A651" s="6" t="n">
        <v>309332</v>
      </c>
      <c r="B651" s="6" t="s">
        <v>1037</v>
      </c>
      <c r="C651" s="6" t="s">
        <v>951</v>
      </c>
      <c r="D651" s="6" t="s">
        <v>34</v>
      </c>
      <c r="E651" s="6" t="s">
        <v>35</v>
      </c>
      <c r="F651" s="6" t="n">
        <v>12.987202</v>
      </c>
      <c r="G651" s="6" t="n">
        <v>77.737366</v>
      </c>
      <c r="H651" s="6" t="n">
        <v>1</v>
      </c>
      <c r="I651" s="6" t="n">
        <v>30</v>
      </c>
      <c r="J651" s="6" t="s">
        <v>36</v>
      </c>
      <c r="K651" s="7" t="b">
        <f aca="false">FALSE()</f>
        <v>0</v>
      </c>
    </row>
    <row r="652" customFormat="false" ht="15" hidden="false" customHeight="false" outlineLevel="0" collapsed="false">
      <c r="A652" s="6" t="n">
        <v>309331</v>
      </c>
      <c r="B652" s="6" t="s">
        <v>1038</v>
      </c>
      <c r="C652" s="6" t="s">
        <v>951</v>
      </c>
      <c r="D652" s="6" t="s">
        <v>34</v>
      </c>
      <c r="E652" s="6" t="s">
        <v>35</v>
      </c>
      <c r="F652" s="6" t="n">
        <v>12.977576</v>
      </c>
      <c r="G652" s="6" t="n">
        <v>77.75709</v>
      </c>
      <c r="H652" s="6" t="n">
        <v>1</v>
      </c>
      <c r="I652" s="6" t="n">
        <v>24</v>
      </c>
      <c r="J652" s="6" t="s">
        <v>36</v>
      </c>
      <c r="K652" s="7" t="b">
        <f aca="false">FALSE()</f>
        <v>0</v>
      </c>
    </row>
    <row r="653" customFormat="false" ht="15" hidden="false" customHeight="false" outlineLevel="0" collapsed="false">
      <c r="A653" s="6" t="n">
        <v>309330</v>
      </c>
      <c r="B653" s="6" t="s">
        <v>1039</v>
      </c>
      <c r="C653" s="6" t="s">
        <v>951</v>
      </c>
      <c r="D653" s="6" t="s">
        <v>34</v>
      </c>
      <c r="E653" s="6" t="s">
        <v>35</v>
      </c>
      <c r="F653" s="6" t="n">
        <v>12.960076</v>
      </c>
      <c r="G653" s="6" t="n">
        <v>77.747194</v>
      </c>
      <c r="H653" s="6" t="n">
        <v>1</v>
      </c>
      <c r="I653" s="6" t="n">
        <v>60</v>
      </c>
      <c r="J653" s="6" t="s">
        <v>39</v>
      </c>
      <c r="K653" s="7" t="b">
        <f aca="false">TRUE()</f>
        <v>1</v>
      </c>
    </row>
    <row r="654" customFormat="false" ht="15" hidden="false" customHeight="false" outlineLevel="0" collapsed="false">
      <c r="A654" s="6" t="n">
        <v>309329</v>
      </c>
      <c r="B654" s="6" t="s">
        <v>1040</v>
      </c>
      <c r="C654" s="6" t="s">
        <v>951</v>
      </c>
      <c r="D654" s="6" t="s">
        <v>34</v>
      </c>
      <c r="E654" s="6" t="s">
        <v>35</v>
      </c>
      <c r="F654" s="6" t="n">
        <v>12.960076</v>
      </c>
      <c r="G654" s="6" t="n">
        <v>77.747194</v>
      </c>
      <c r="H654" s="6" t="n">
        <v>1</v>
      </c>
      <c r="I654" s="6" t="n">
        <v>60</v>
      </c>
      <c r="J654" s="6" t="s">
        <v>39</v>
      </c>
      <c r="K654" s="7" t="b">
        <f aca="false">TRUE()</f>
        <v>1</v>
      </c>
    </row>
    <row r="655" customFormat="false" ht="15" hidden="false" customHeight="false" outlineLevel="0" collapsed="false">
      <c r="A655" s="6" t="n">
        <v>309328</v>
      </c>
      <c r="B655" s="6" t="s">
        <v>1041</v>
      </c>
      <c r="C655" s="6" t="s">
        <v>951</v>
      </c>
      <c r="D655" s="6" t="s">
        <v>34</v>
      </c>
      <c r="E655" s="6" t="s">
        <v>35</v>
      </c>
      <c r="F655" s="6" t="n">
        <v>12.889192</v>
      </c>
      <c r="G655" s="6" t="n">
        <v>77.563437</v>
      </c>
      <c r="H655" s="6" t="n">
        <v>1</v>
      </c>
      <c r="I655" s="6" t="n">
        <v>60</v>
      </c>
      <c r="J655" s="6" t="s">
        <v>39</v>
      </c>
      <c r="K655" s="7" t="b">
        <f aca="false">TRUE()</f>
        <v>1</v>
      </c>
    </row>
    <row r="656" customFormat="false" ht="15" hidden="false" customHeight="false" outlineLevel="0" collapsed="false">
      <c r="A656" s="6" t="n">
        <v>309320</v>
      </c>
      <c r="B656" s="6" t="s">
        <v>1042</v>
      </c>
      <c r="C656" s="6" t="s">
        <v>951</v>
      </c>
      <c r="D656" s="6" t="s">
        <v>34</v>
      </c>
      <c r="E656" s="6" t="s">
        <v>35</v>
      </c>
      <c r="F656" s="6" t="n">
        <v>12.98211</v>
      </c>
      <c r="G656" s="6" t="n">
        <v>77.56317</v>
      </c>
      <c r="H656" s="6" t="n">
        <v>1</v>
      </c>
      <c r="I656" s="6" t="n">
        <v>30</v>
      </c>
      <c r="J656" s="6" t="s">
        <v>36</v>
      </c>
      <c r="K656" s="7" t="b">
        <f aca="false">FALSE()</f>
        <v>0</v>
      </c>
    </row>
    <row r="657" customFormat="false" ht="15" hidden="false" customHeight="false" outlineLevel="0" collapsed="false">
      <c r="A657" s="6" t="n">
        <v>309319</v>
      </c>
      <c r="B657" s="6" t="s">
        <v>1043</v>
      </c>
      <c r="C657" s="6" t="s">
        <v>951</v>
      </c>
      <c r="D657" s="6" t="s">
        <v>34</v>
      </c>
      <c r="E657" s="6" t="s">
        <v>35</v>
      </c>
      <c r="F657" s="6" t="n">
        <v>12.97859</v>
      </c>
      <c r="G657" s="6" t="n">
        <v>77.58139</v>
      </c>
      <c r="H657" s="6" t="n">
        <v>1</v>
      </c>
      <c r="I657" s="6" t="n">
        <v>25</v>
      </c>
      <c r="J657" s="6" t="s">
        <v>36</v>
      </c>
      <c r="K657" s="7" t="b">
        <f aca="false">FALSE()</f>
        <v>0</v>
      </c>
    </row>
    <row r="658" customFormat="false" ht="15" hidden="false" customHeight="false" outlineLevel="0" collapsed="false">
      <c r="A658" s="6" t="n">
        <v>309318</v>
      </c>
      <c r="B658" s="6" t="s">
        <v>1044</v>
      </c>
      <c r="C658" s="6" t="s">
        <v>951</v>
      </c>
      <c r="D658" s="6" t="s">
        <v>34</v>
      </c>
      <c r="E658" s="6" t="s">
        <v>35</v>
      </c>
      <c r="F658" s="6" t="n">
        <v>12.93979</v>
      </c>
      <c r="G658" s="6" t="n">
        <v>77.73447</v>
      </c>
      <c r="H658" s="6" t="n">
        <v>18</v>
      </c>
      <c r="I658" s="6" t="n">
        <v>60</v>
      </c>
      <c r="J658" s="6" t="s">
        <v>39</v>
      </c>
      <c r="K658" s="7" t="b">
        <f aca="false">TRUE()</f>
        <v>1</v>
      </c>
    </row>
    <row r="659" customFormat="false" ht="15" hidden="false" customHeight="false" outlineLevel="0" collapsed="false">
      <c r="A659" s="6" t="n">
        <v>309317</v>
      </c>
      <c r="B659" s="6" t="s">
        <v>1045</v>
      </c>
      <c r="C659" s="6" t="s">
        <v>951</v>
      </c>
      <c r="D659" s="6" t="s">
        <v>34</v>
      </c>
      <c r="E659" s="6" t="s">
        <v>35</v>
      </c>
      <c r="F659" s="6" t="n">
        <v>12.95179</v>
      </c>
      <c r="G659" s="6" t="n">
        <v>77.70207</v>
      </c>
      <c r="H659" s="6" t="n">
        <v>1</v>
      </c>
      <c r="I659" s="6" t="n">
        <v>60</v>
      </c>
      <c r="J659" s="6" t="s">
        <v>39</v>
      </c>
      <c r="K659" s="7" t="b">
        <f aca="false">TRUE()</f>
        <v>1</v>
      </c>
    </row>
    <row r="660" customFormat="false" ht="15" hidden="false" customHeight="false" outlineLevel="0" collapsed="false">
      <c r="A660" s="6" t="n">
        <v>309316</v>
      </c>
      <c r="B660" s="6" t="s">
        <v>1046</v>
      </c>
      <c r="C660" s="6" t="s">
        <v>951</v>
      </c>
      <c r="D660" s="6" t="s">
        <v>34</v>
      </c>
      <c r="E660" s="6" t="s">
        <v>35</v>
      </c>
      <c r="F660" s="6" t="n">
        <v>12.94329</v>
      </c>
      <c r="G660" s="6" t="n">
        <v>77.69229</v>
      </c>
      <c r="H660" s="6" t="n">
        <v>1</v>
      </c>
      <c r="I660" s="6" t="n">
        <v>60</v>
      </c>
      <c r="J660" s="6" t="s">
        <v>39</v>
      </c>
      <c r="K660" s="7" t="b">
        <f aca="false">TRUE()</f>
        <v>1</v>
      </c>
    </row>
    <row r="661" customFormat="false" ht="15" hidden="false" customHeight="false" outlineLevel="0" collapsed="false">
      <c r="A661" s="6" t="n">
        <v>309315</v>
      </c>
      <c r="B661" s="6" t="s">
        <v>1047</v>
      </c>
      <c r="C661" s="6" t="s">
        <v>951</v>
      </c>
      <c r="D661" s="6" t="s">
        <v>34</v>
      </c>
      <c r="E661" s="6" t="s">
        <v>35</v>
      </c>
      <c r="F661" s="6" t="n">
        <v>12.936745</v>
      </c>
      <c r="G661" s="6" t="n">
        <v>77.694889</v>
      </c>
      <c r="H661" s="6" t="n">
        <v>1</v>
      </c>
      <c r="I661" s="6" t="n">
        <v>60</v>
      </c>
      <c r="J661" s="6" t="s">
        <v>39</v>
      </c>
      <c r="K661" s="7" t="b">
        <f aca="false">TRUE()</f>
        <v>1</v>
      </c>
    </row>
    <row r="662" customFormat="false" ht="15" hidden="false" customHeight="false" outlineLevel="0" collapsed="false">
      <c r="A662" s="6" t="n">
        <v>309314</v>
      </c>
      <c r="B662" s="6" t="s">
        <v>1048</v>
      </c>
      <c r="C662" s="6" t="s">
        <v>951</v>
      </c>
      <c r="D662" s="6" t="s">
        <v>34</v>
      </c>
      <c r="E662" s="6" t="s">
        <v>35</v>
      </c>
      <c r="F662" s="6" t="n">
        <v>12.92924</v>
      </c>
      <c r="G662" s="6" t="n">
        <v>77.70305</v>
      </c>
      <c r="H662" s="6" t="n">
        <v>1</v>
      </c>
      <c r="I662" s="6" t="n">
        <v>60</v>
      </c>
      <c r="J662" s="6" t="s">
        <v>39</v>
      </c>
      <c r="K662" s="7" t="b">
        <f aca="false">TRUE()</f>
        <v>1</v>
      </c>
    </row>
    <row r="663" customFormat="false" ht="15" hidden="false" customHeight="false" outlineLevel="0" collapsed="false">
      <c r="A663" s="6" t="n">
        <v>309313</v>
      </c>
      <c r="B663" s="6" t="s">
        <v>1049</v>
      </c>
      <c r="C663" s="6" t="s">
        <v>951</v>
      </c>
      <c r="D663" s="6" t="s">
        <v>34</v>
      </c>
      <c r="E663" s="6" t="s">
        <v>35</v>
      </c>
      <c r="F663" s="6" t="n">
        <v>12.90986</v>
      </c>
      <c r="G663" s="6" t="n">
        <v>77.68856</v>
      </c>
      <c r="H663" s="6" t="n">
        <v>1</v>
      </c>
      <c r="I663" s="6" t="n">
        <v>60</v>
      </c>
      <c r="J663" s="6" t="s">
        <v>39</v>
      </c>
      <c r="K663" s="7" t="b">
        <f aca="false">TRUE()</f>
        <v>1</v>
      </c>
    </row>
    <row r="664" customFormat="false" ht="15" hidden="false" customHeight="false" outlineLevel="0" collapsed="false">
      <c r="A664" s="6" t="n">
        <v>309312</v>
      </c>
      <c r="B664" s="6" t="s">
        <v>1050</v>
      </c>
      <c r="C664" s="6" t="s">
        <v>951</v>
      </c>
      <c r="D664" s="6" t="s">
        <v>34</v>
      </c>
      <c r="E664" s="6" t="s">
        <v>35</v>
      </c>
      <c r="F664" s="6" t="n">
        <v>12.920994</v>
      </c>
      <c r="G664" s="6" t="n">
        <v>77.686055</v>
      </c>
      <c r="H664" s="6" t="n">
        <v>1</v>
      </c>
      <c r="I664" s="6" t="n">
        <v>50</v>
      </c>
      <c r="J664" s="6" t="s">
        <v>39</v>
      </c>
      <c r="K664" s="7" t="b">
        <f aca="false">TRUE()</f>
        <v>1</v>
      </c>
    </row>
    <row r="665" customFormat="false" ht="15" hidden="false" customHeight="false" outlineLevel="0" collapsed="false">
      <c r="A665" s="6" t="n">
        <v>309311</v>
      </c>
      <c r="B665" s="6" t="s">
        <v>1051</v>
      </c>
      <c r="C665" s="6" t="s">
        <v>951</v>
      </c>
      <c r="D665" s="6" t="s">
        <v>34</v>
      </c>
      <c r="E665" s="6" t="s">
        <v>35</v>
      </c>
      <c r="F665" s="6" t="n">
        <v>12.921004</v>
      </c>
      <c r="G665" s="6" t="n">
        <v>77.685394</v>
      </c>
      <c r="H665" s="6" t="n">
        <v>1</v>
      </c>
      <c r="I665" s="6" t="n">
        <v>80</v>
      </c>
      <c r="J665" s="6" t="s">
        <v>39</v>
      </c>
      <c r="K665" s="7" t="b">
        <f aca="false">TRUE()</f>
        <v>1</v>
      </c>
    </row>
    <row r="666" customFormat="false" ht="15" hidden="false" customHeight="false" outlineLevel="0" collapsed="false">
      <c r="A666" s="6" t="n">
        <v>309310</v>
      </c>
      <c r="B666" s="6" t="s">
        <v>1052</v>
      </c>
      <c r="C666" s="6" t="s">
        <v>951</v>
      </c>
      <c r="D666" s="6" t="s">
        <v>34</v>
      </c>
      <c r="E666" s="6" t="s">
        <v>35</v>
      </c>
      <c r="F666" s="6" t="n">
        <v>12.928234</v>
      </c>
      <c r="G666" s="6" t="n">
        <v>77.682188</v>
      </c>
      <c r="H666" s="6" t="n">
        <v>1</v>
      </c>
      <c r="I666" s="6" t="n">
        <v>60</v>
      </c>
      <c r="J666" s="6" t="s">
        <v>39</v>
      </c>
      <c r="K666" s="7" t="b">
        <f aca="false">TRUE()</f>
        <v>1</v>
      </c>
    </row>
    <row r="667" customFormat="false" ht="15" hidden="false" customHeight="false" outlineLevel="0" collapsed="false">
      <c r="A667" s="6" t="n">
        <v>309309</v>
      </c>
      <c r="B667" s="6" t="s">
        <v>1053</v>
      </c>
      <c r="C667" s="6" t="s">
        <v>951</v>
      </c>
      <c r="D667" s="6" t="s">
        <v>34</v>
      </c>
      <c r="E667" s="6" t="s">
        <v>35</v>
      </c>
      <c r="F667" s="6" t="n">
        <v>12.919112</v>
      </c>
      <c r="G667" s="6" t="n">
        <v>77.665155</v>
      </c>
      <c r="H667" s="6" t="n">
        <v>1</v>
      </c>
      <c r="I667" s="6" t="n">
        <v>60</v>
      </c>
      <c r="J667" s="6" t="s">
        <v>39</v>
      </c>
      <c r="K667" s="7" t="b">
        <f aca="false">TRUE()</f>
        <v>1</v>
      </c>
    </row>
    <row r="668" customFormat="false" ht="15" hidden="false" customHeight="false" outlineLevel="0" collapsed="false">
      <c r="A668" s="6" t="n">
        <v>309308</v>
      </c>
      <c r="B668" s="6" t="s">
        <v>1054</v>
      </c>
      <c r="C668" s="6" t="s">
        <v>1055</v>
      </c>
      <c r="D668" s="6" t="s">
        <v>34</v>
      </c>
      <c r="E668" s="6" t="s">
        <v>35</v>
      </c>
      <c r="F668" s="6" t="n">
        <v>12.57449</v>
      </c>
      <c r="G668" s="6" t="n">
        <v>77.42937</v>
      </c>
      <c r="H668" s="6" t="n">
        <v>1</v>
      </c>
      <c r="I668" s="6" t="n">
        <v>25</v>
      </c>
      <c r="J668" s="6" t="s">
        <v>36</v>
      </c>
      <c r="K668" s="7" t="b">
        <f aca="false">FALSE()</f>
        <v>0</v>
      </c>
    </row>
    <row r="669" customFormat="false" ht="15" hidden="false" customHeight="false" outlineLevel="0" collapsed="false">
      <c r="A669" s="6" t="n">
        <v>309307</v>
      </c>
      <c r="B669" s="6" t="s">
        <v>1056</v>
      </c>
      <c r="C669" s="6" t="s">
        <v>1057</v>
      </c>
      <c r="D669" s="6" t="s">
        <v>34</v>
      </c>
      <c r="E669" s="6" t="s">
        <v>35</v>
      </c>
      <c r="F669" s="6" t="n">
        <v>12.6915</v>
      </c>
      <c r="G669" s="6" t="n">
        <v>77.47631</v>
      </c>
      <c r="H669" s="6" t="n">
        <v>1</v>
      </c>
      <c r="I669" s="6" t="n">
        <v>30</v>
      </c>
      <c r="J669" s="6" t="s">
        <v>36</v>
      </c>
      <c r="K669" s="7" t="b">
        <f aca="false">FALSE()</f>
        <v>0</v>
      </c>
    </row>
    <row r="670" customFormat="false" ht="15" hidden="false" customHeight="false" outlineLevel="0" collapsed="false">
      <c r="A670" s="6" t="n">
        <v>309306</v>
      </c>
      <c r="B670" s="6" t="s">
        <v>1058</v>
      </c>
      <c r="C670" s="6" t="s">
        <v>951</v>
      </c>
      <c r="D670" s="6" t="s">
        <v>34</v>
      </c>
      <c r="E670" s="6" t="s">
        <v>35</v>
      </c>
      <c r="F670" s="6" t="n">
        <v>12.86563</v>
      </c>
      <c r="G670" s="6" t="n">
        <v>77.65753</v>
      </c>
      <c r="H670" s="6" t="n">
        <v>1</v>
      </c>
      <c r="I670" s="6" t="n">
        <v>50</v>
      </c>
      <c r="J670" s="6" t="s">
        <v>39</v>
      </c>
      <c r="K670" s="7" t="b">
        <f aca="false">TRUE()</f>
        <v>1</v>
      </c>
    </row>
    <row r="671" customFormat="false" ht="15" hidden="false" customHeight="false" outlineLevel="0" collapsed="false">
      <c r="A671" s="6" t="n">
        <v>309305</v>
      </c>
      <c r="B671" s="6" t="s">
        <v>1059</v>
      </c>
      <c r="C671" s="6" t="s">
        <v>951</v>
      </c>
      <c r="D671" s="6" t="s">
        <v>34</v>
      </c>
      <c r="E671" s="6" t="s">
        <v>35</v>
      </c>
      <c r="F671" s="6" t="n">
        <v>12.87194</v>
      </c>
      <c r="G671" s="6" t="n">
        <v>77.65095</v>
      </c>
      <c r="H671" s="6" t="n">
        <v>1</v>
      </c>
      <c r="I671" s="6" t="n">
        <v>25</v>
      </c>
      <c r="J671" s="6" t="s">
        <v>36</v>
      </c>
      <c r="K671" s="7" t="b">
        <f aca="false">FALSE()</f>
        <v>0</v>
      </c>
    </row>
    <row r="672" customFormat="false" ht="15" hidden="false" customHeight="false" outlineLevel="0" collapsed="false">
      <c r="A672" s="6" t="n">
        <v>309304</v>
      </c>
      <c r="B672" s="6" t="s">
        <v>1060</v>
      </c>
      <c r="C672" s="6" t="s">
        <v>951</v>
      </c>
      <c r="D672" s="6" t="s">
        <v>34</v>
      </c>
      <c r="E672" s="6" t="s">
        <v>35</v>
      </c>
      <c r="F672" s="6" t="n">
        <v>12.87544</v>
      </c>
      <c r="G672" s="6" t="n">
        <v>77.64835</v>
      </c>
      <c r="H672" s="6" t="n">
        <v>1</v>
      </c>
      <c r="I672" s="6" t="n">
        <v>60</v>
      </c>
      <c r="J672" s="6" t="s">
        <v>39</v>
      </c>
      <c r="K672" s="7" t="b">
        <f aca="false">TRUE()</f>
        <v>1</v>
      </c>
    </row>
    <row r="673" customFormat="false" ht="15" hidden="false" customHeight="false" outlineLevel="0" collapsed="false">
      <c r="A673" s="6" t="n">
        <v>309303</v>
      </c>
      <c r="B673" s="6" t="s">
        <v>1061</v>
      </c>
      <c r="C673" s="6" t="s">
        <v>951</v>
      </c>
      <c r="D673" s="6" t="s">
        <v>34</v>
      </c>
      <c r="E673" s="6" t="s">
        <v>35</v>
      </c>
      <c r="F673" s="6" t="n">
        <v>12.88014</v>
      </c>
      <c r="G673" s="6" t="n">
        <v>77.64592</v>
      </c>
      <c r="H673" s="6" t="n">
        <v>1</v>
      </c>
      <c r="I673" s="6" t="n">
        <v>60</v>
      </c>
      <c r="J673" s="6" t="s">
        <v>39</v>
      </c>
      <c r="K673" s="7" t="b">
        <f aca="false">TRUE()</f>
        <v>1</v>
      </c>
    </row>
    <row r="674" customFormat="false" ht="15" hidden="false" customHeight="false" outlineLevel="0" collapsed="false">
      <c r="A674" s="6" t="n">
        <v>309302</v>
      </c>
      <c r="B674" s="6" t="s">
        <v>1062</v>
      </c>
      <c r="C674" s="6" t="s">
        <v>951</v>
      </c>
      <c r="D674" s="6" t="s">
        <v>34</v>
      </c>
      <c r="E674" s="6" t="s">
        <v>35</v>
      </c>
      <c r="F674" s="6" t="n">
        <v>12.8912</v>
      </c>
      <c r="G674" s="6" t="n">
        <v>77.63829</v>
      </c>
      <c r="H674" s="6" t="n">
        <v>1</v>
      </c>
      <c r="I674" s="6" t="n">
        <v>25</v>
      </c>
      <c r="J674" s="6" t="s">
        <v>36</v>
      </c>
      <c r="K674" s="7" t="b">
        <f aca="false">FALSE()</f>
        <v>0</v>
      </c>
    </row>
    <row r="675" customFormat="false" ht="15" hidden="false" customHeight="false" outlineLevel="0" collapsed="false">
      <c r="A675" s="6" t="n">
        <v>309301</v>
      </c>
      <c r="B675" s="6" t="s">
        <v>1063</v>
      </c>
      <c r="C675" s="6" t="s">
        <v>951</v>
      </c>
      <c r="D675" s="6" t="s">
        <v>34</v>
      </c>
      <c r="E675" s="6" t="s">
        <v>35</v>
      </c>
      <c r="F675" s="6" t="n">
        <v>12.89388</v>
      </c>
      <c r="G675" s="6" t="n">
        <v>77.65157</v>
      </c>
      <c r="H675" s="6" t="n">
        <v>1</v>
      </c>
      <c r="I675" s="6" t="n">
        <v>60</v>
      </c>
      <c r="J675" s="6" t="s">
        <v>39</v>
      </c>
      <c r="K675" s="7" t="b">
        <f aca="false">TRUE()</f>
        <v>1</v>
      </c>
    </row>
    <row r="676" customFormat="false" ht="15" hidden="false" customHeight="false" outlineLevel="0" collapsed="false">
      <c r="A676" s="6" t="n">
        <v>309300</v>
      </c>
      <c r="B676" s="6" t="s">
        <v>1064</v>
      </c>
      <c r="C676" s="6" t="s">
        <v>951</v>
      </c>
      <c r="D676" s="6" t="s">
        <v>34</v>
      </c>
      <c r="E676" s="6" t="s">
        <v>35</v>
      </c>
      <c r="F676" s="6" t="n">
        <v>12.918011</v>
      </c>
      <c r="G676" s="6" t="n">
        <v>77.649265</v>
      </c>
      <c r="H676" s="6" t="n">
        <v>1</v>
      </c>
      <c r="I676" s="6" t="n">
        <v>25</v>
      </c>
      <c r="J676" s="6" t="s">
        <v>36</v>
      </c>
      <c r="K676" s="7" t="b">
        <f aca="false">FALSE()</f>
        <v>0</v>
      </c>
    </row>
    <row r="677" customFormat="false" ht="15" hidden="false" customHeight="false" outlineLevel="0" collapsed="false">
      <c r="A677" s="6" t="n">
        <v>309299</v>
      </c>
      <c r="B677" s="6" t="s">
        <v>1065</v>
      </c>
      <c r="C677" s="6" t="s">
        <v>951</v>
      </c>
      <c r="D677" s="6" t="s">
        <v>34</v>
      </c>
      <c r="E677" s="6" t="s">
        <v>35</v>
      </c>
      <c r="F677" s="6" t="n">
        <v>12.959251</v>
      </c>
      <c r="G677" s="6" t="n">
        <v>77.662761</v>
      </c>
      <c r="H677" s="6" t="n">
        <v>1</v>
      </c>
      <c r="I677" s="6" t="n">
        <v>25</v>
      </c>
      <c r="J677" s="6" t="s">
        <v>36</v>
      </c>
      <c r="K677" s="7" t="b">
        <f aca="false">FALSE()</f>
        <v>0</v>
      </c>
    </row>
    <row r="678" customFormat="false" ht="15" hidden="false" customHeight="false" outlineLevel="0" collapsed="false">
      <c r="A678" s="6" t="n">
        <v>309298</v>
      </c>
      <c r="B678" s="6" t="s">
        <v>1066</v>
      </c>
      <c r="C678" s="6" t="s">
        <v>1067</v>
      </c>
      <c r="D678" s="6" t="s">
        <v>34</v>
      </c>
      <c r="E678" s="6" t="s">
        <v>35</v>
      </c>
      <c r="F678" s="6" t="n">
        <v>12.945762</v>
      </c>
      <c r="G678" s="6" t="n">
        <v>77.67413</v>
      </c>
      <c r="H678" s="6" t="n">
        <v>1</v>
      </c>
      <c r="I678" s="6" t="n">
        <v>60</v>
      </c>
      <c r="J678" s="6" t="s">
        <v>39</v>
      </c>
      <c r="K678" s="7" t="b">
        <f aca="false">TRUE()</f>
        <v>1</v>
      </c>
    </row>
    <row r="679" customFormat="false" ht="15" hidden="false" customHeight="false" outlineLevel="0" collapsed="false">
      <c r="A679" s="6" t="n">
        <v>309297</v>
      </c>
      <c r="B679" s="6" t="s">
        <v>1068</v>
      </c>
      <c r="C679" s="6" t="s">
        <v>951</v>
      </c>
      <c r="D679" s="6" t="s">
        <v>34</v>
      </c>
      <c r="E679" s="6" t="s">
        <v>35</v>
      </c>
      <c r="F679" s="6" t="n">
        <v>12.952724</v>
      </c>
      <c r="G679" s="6" t="n">
        <v>77.640852</v>
      </c>
      <c r="H679" s="6" t="n">
        <v>1</v>
      </c>
      <c r="I679" s="6" t="n">
        <v>60</v>
      </c>
      <c r="J679" s="6" t="s">
        <v>39</v>
      </c>
      <c r="K679" s="7" t="b">
        <f aca="false">TRUE()</f>
        <v>1</v>
      </c>
    </row>
    <row r="680" customFormat="false" ht="15" hidden="false" customHeight="false" outlineLevel="0" collapsed="false">
      <c r="A680" s="6" t="n">
        <v>309296</v>
      </c>
      <c r="B680" s="6" t="s">
        <v>1069</v>
      </c>
      <c r="C680" s="6" t="s">
        <v>951</v>
      </c>
      <c r="D680" s="6" t="s">
        <v>34</v>
      </c>
      <c r="E680" s="6" t="s">
        <v>35</v>
      </c>
      <c r="F680" s="6" t="n">
        <v>12.974519</v>
      </c>
      <c r="G680" s="6" t="n">
        <v>77.621461</v>
      </c>
      <c r="H680" s="6" t="n">
        <v>1</v>
      </c>
      <c r="I680" s="6" t="n">
        <v>60</v>
      </c>
      <c r="J680" s="6" t="s">
        <v>39</v>
      </c>
      <c r="K680" s="7" t="b">
        <f aca="false">TRUE()</f>
        <v>1</v>
      </c>
    </row>
    <row r="681" customFormat="false" ht="15" hidden="false" customHeight="false" outlineLevel="0" collapsed="false">
      <c r="A681" s="6" t="n">
        <v>309295</v>
      </c>
      <c r="B681" s="6" t="s">
        <v>1070</v>
      </c>
      <c r="C681" s="6" t="s">
        <v>951</v>
      </c>
      <c r="D681" s="6" t="s">
        <v>34</v>
      </c>
      <c r="E681" s="6" t="s">
        <v>35</v>
      </c>
      <c r="F681" s="6" t="n">
        <v>12.973941</v>
      </c>
      <c r="G681" s="6" t="n">
        <v>77.619889</v>
      </c>
      <c r="H681" s="6" t="n">
        <v>1</v>
      </c>
      <c r="I681" s="6" t="n">
        <v>30</v>
      </c>
      <c r="J681" s="6" t="s">
        <v>36</v>
      </c>
      <c r="K681" s="7" t="b">
        <f aca="false">FALSE()</f>
        <v>0</v>
      </c>
    </row>
    <row r="682" customFormat="false" ht="15" hidden="false" customHeight="false" outlineLevel="0" collapsed="false">
      <c r="A682" s="6" t="n">
        <v>309294</v>
      </c>
      <c r="B682" s="6" t="s">
        <v>1071</v>
      </c>
      <c r="C682" s="6" t="s">
        <v>951</v>
      </c>
      <c r="D682" s="6" t="s">
        <v>34</v>
      </c>
      <c r="E682" s="6" t="s">
        <v>35</v>
      </c>
      <c r="F682" s="6" t="n">
        <v>12.973314</v>
      </c>
      <c r="G682" s="6" t="n">
        <v>77.619578</v>
      </c>
      <c r="H682" s="6" t="n">
        <v>1</v>
      </c>
      <c r="I682" s="6" t="n">
        <v>30</v>
      </c>
      <c r="J682" s="6" t="s">
        <v>36</v>
      </c>
      <c r="K682" s="7" t="b">
        <f aca="false">FALSE()</f>
        <v>0</v>
      </c>
    </row>
    <row r="683" customFormat="false" ht="15" hidden="false" customHeight="false" outlineLevel="0" collapsed="false">
      <c r="A683" s="6" t="n">
        <v>309293</v>
      </c>
      <c r="B683" s="6" t="s">
        <v>1072</v>
      </c>
      <c r="C683" s="6" t="s">
        <v>951</v>
      </c>
      <c r="D683" s="6" t="s">
        <v>34</v>
      </c>
      <c r="E683" s="6" t="s">
        <v>35</v>
      </c>
      <c r="F683" s="6" t="n">
        <v>12.972788</v>
      </c>
      <c r="G683" s="6" t="n">
        <v>77.618405</v>
      </c>
      <c r="H683" s="6" t="n">
        <v>1</v>
      </c>
      <c r="I683" s="6" t="n">
        <v>60</v>
      </c>
      <c r="J683" s="6" t="s">
        <v>39</v>
      </c>
      <c r="K683" s="7" t="b">
        <f aca="false">TRUE()</f>
        <v>1</v>
      </c>
    </row>
    <row r="684" customFormat="false" ht="15" hidden="false" customHeight="false" outlineLevel="0" collapsed="false">
      <c r="A684" s="6" t="n">
        <v>309285</v>
      </c>
      <c r="B684" s="6" t="s">
        <v>1073</v>
      </c>
      <c r="C684" s="6" t="s">
        <v>951</v>
      </c>
      <c r="D684" s="6" t="s">
        <v>34</v>
      </c>
      <c r="E684" s="6" t="s">
        <v>35</v>
      </c>
      <c r="F684" s="6" t="n">
        <v>12.90375</v>
      </c>
      <c r="G684" s="6" t="n">
        <v>77.60136</v>
      </c>
      <c r="H684" s="6" t="n">
        <v>1</v>
      </c>
      <c r="I684" s="6" t="n">
        <v>150</v>
      </c>
      <c r="J684" s="6" t="s">
        <v>748</v>
      </c>
      <c r="K684" s="7" t="b">
        <f aca="false">TRUE()</f>
        <v>1</v>
      </c>
    </row>
    <row r="685" customFormat="false" ht="15" hidden="false" customHeight="false" outlineLevel="0" collapsed="false">
      <c r="A685" s="6" t="n">
        <v>309283</v>
      </c>
      <c r="B685" s="6" t="s">
        <v>1074</v>
      </c>
      <c r="C685" s="6" t="s">
        <v>951</v>
      </c>
      <c r="D685" s="6" t="s">
        <v>34</v>
      </c>
      <c r="E685" s="6" t="s">
        <v>35</v>
      </c>
      <c r="F685" s="6" t="n">
        <v>12.90302</v>
      </c>
      <c r="G685" s="6" t="n">
        <v>77.60159</v>
      </c>
      <c r="H685" s="6" t="n">
        <v>1</v>
      </c>
      <c r="I685" s="6" t="n">
        <v>30</v>
      </c>
      <c r="J685" s="6" t="s">
        <v>36</v>
      </c>
      <c r="K685" s="7" t="b">
        <f aca="false">FALSE()</f>
        <v>0</v>
      </c>
    </row>
    <row r="686" customFormat="false" ht="15" hidden="false" customHeight="false" outlineLevel="0" collapsed="false">
      <c r="A686" s="6" t="n">
        <v>309281</v>
      </c>
      <c r="B686" s="6" t="s">
        <v>1075</v>
      </c>
      <c r="C686" s="6" t="s">
        <v>951</v>
      </c>
      <c r="D686" s="6" t="s">
        <v>34</v>
      </c>
      <c r="E686" s="6" t="s">
        <v>35</v>
      </c>
      <c r="F686" s="6" t="n">
        <v>12.88912</v>
      </c>
      <c r="G686" s="6" t="n">
        <v>77.59736</v>
      </c>
      <c r="H686" s="6" t="n">
        <v>1</v>
      </c>
      <c r="I686" s="6" t="n">
        <v>24</v>
      </c>
      <c r="J686" s="6" t="s">
        <v>36</v>
      </c>
      <c r="K686" s="7" t="b">
        <f aca="false">FALSE()</f>
        <v>0</v>
      </c>
    </row>
    <row r="687" customFormat="false" ht="15" hidden="false" customHeight="false" outlineLevel="0" collapsed="false">
      <c r="A687" s="6" t="n">
        <v>309279</v>
      </c>
      <c r="B687" s="6" t="s">
        <v>1076</v>
      </c>
      <c r="C687" s="6" t="s">
        <v>951</v>
      </c>
      <c r="D687" s="6" t="s">
        <v>34</v>
      </c>
      <c r="E687" s="6" t="s">
        <v>35</v>
      </c>
      <c r="F687" s="6" t="n">
        <v>12.8759</v>
      </c>
      <c r="G687" s="6" t="n">
        <v>77.59583</v>
      </c>
      <c r="H687" s="6" t="n">
        <v>1</v>
      </c>
      <c r="I687" s="6" t="n">
        <v>60</v>
      </c>
      <c r="J687" s="6" t="s">
        <v>39</v>
      </c>
      <c r="K687" s="7" t="b">
        <f aca="false">TRUE()</f>
        <v>1</v>
      </c>
    </row>
    <row r="688" customFormat="false" ht="15" hidden="false" customHeight="false" outlineLevel="0" collapsed="false">
      <c r="A688" s="6" t="n">
        <v>309278</v>
      </c>
      <c r="B688" s="6" t="s">
        <v>1077</v>
      </c>
      <c r="C688" s="6" t="s">
        <v>951</v>
      </c>
      <c r="D688" s="6" t="s">
        <v>34</v>
      </c>
      <c r="E688" s="6" t="s">
        <v>35</v>
      </c>
      <c r="F688" s="6" t="n">
        <v>12.90401</v>
      </c>
      <c r="G688" s="6" t="n">
        <v>77.57358</v>
      </c>
      <c r="H688" s="6" t="n">
        <v>1</v>
      </c>
      <c r="I688" s="6" t="n">
        <v>25</v>
      </c>
      <c r="J688" s="6" t="s">
        <v>36</v>
      </c>
      <c r="K688" s="7" t="b">
        <f aca="false">FALSE()</f>
        <v>0</v>
      </c>
    </row>
    <row r="689" customFormat="false" ht="15" hidden="false" customHeight="false" outlineLevel="0" collapsed="false">
      <c r="A689" s="6" t="n">
        <v>309277</v>
      </c>
      <c r="B689" s="6" t="s">
        <v>1078</v>
      </c>
      <c r="C689" s="6" t="s">
        <v>951</v>
      </c>
      <c r="D689" s="6" t="s">
        <v>34</v>
      </c>
      <c r="E689" s="6" t="s">
        <v>35</v>
      </c>
      <c r="F689" s="6" t="n">
        <v>12.92905</v>
      </c>
      <c r="G689" s="6" t="n">
        <v>77.514789</v>
      </c>
      <c r="H689" s="6" t="n">
        <v>1</v>
      </c>
      <c r="I689" s="6" t="n">
        <v>50</v>
      </c>
      <c r="J689" s="6" t="s">
        <v>39</v>
      </c>
      <c r="K689" s="7" t="b">
        <f aca="false">TRUE()</f>
        <v>1</v>
      </c>
    </row>
    <row r="690" customFormat="false" ht="15" hidden="false" customHeight="false" outlineLevel="0" collapsed="false">
      <c r="A690" s="6" t="n">
        <v>309274</v>
      </c>
      <c r="B690" s="6" t="s">
        <v>1079</v>
      </c>
      <c r="C690" s="6" t="s">
        <v>951</v>
      </c>
      <c r="D690" s="6" t="s">
        <v>34</v>
      </c>
      <c r="E690" s="6" t="s">
        <v>35</v>
      </c>
      <c r="F690" s="6" t="n">
        <v>12.950279</v>
      </c>
      <c r="G690" s="6" t="n">
        <v>77.540557</v>
      </c>
      <c r="H690" s="6" t="n">
        <v>1</v>
      </c>
      <c r="I690" s="6" t="n">
        <v>15</v>
      </c>
      <c r="J690" s="6" t="s">
        <v>756</v>
      </c>
      <c r="K690" s="7" t="b">
        <f aca="false">FALSE()</f>
        <v>0</v>
      </c>
    </row>
    <row r="691" customFormat="false" ht="15" hidden="false" customHeight="false" outlineLevel="0" collapsed="false">
      <c r="A691" s="6" t="n">
        <v>309273</v>
      </c>
      <c r="B691" s="6" t="s">
        <v>1080</v>
      </c>
      <c r="C691" s="6" t="s">
        <v>951</v>
      </c>
      <c r="D691" s="6" t="s">
        <v>34</v>
      </c>
      <c r="E691" s="6" t="s">
        <v>35</v>
      </c>
      <c r="F691" s="6" t="n">
        <v>12.96871</v>
      </c>
      <c r="G691" s="6" t="n">
        <v>77.614409</v>
      </c>
      <c r="H691" s="6" t="n">
        <v>1</v>
      </c>
      <c r="I691" s="6" t="n">
        <v>60</v>
      </c>
      <c r="J691" s="6" t="s">
        <v>39</v>
      </c>
      <c r="K691" s="7" t="b">
        <f aca="false">TRUE()</f>
        <v>1</v>
      </c>
    </row>
    <row r="692" customFormat="false" ht="15" hidden="false" customHeight="false" outlineLevel="0" collapsed="false">
      <c r="A692" s="6" t="n">
        <v>309272</v>
      </c>
      <c r="B692" s="6" t="s">
        <v>1081</v>
      </c>
      <c r="C692" s="6" t="s">
        <v>951</v>
      </c>
      <c r="D692" s="6" t="s">
        <v>34</v>
      </c>
      <c r="E692" s="6" t="s">
        <v>35</v>
      </c>
      <c r="F692" s="6" t="n">
        <v>12.972488</v>
      </c>
      <c r="G692" s="6" t="n">
        <v>77.608542</v>
      </c>
      <c r="H692" s="6" t="n">
        <v>1</v>
      </c>
      <c r="I692" s="6" t="n">
        <v>30</v>
      </c>
      <c r="J692" s="6" t="s">
        <v>36</v>
      </c>
      <c r="K692" s="7" t="b">
        <f aca="false">FALSE()</f>
        <v>0</v>
      </c>
    </row>
    <row r="693" customFormat="false" ht="15" hidden="false" customHeight="false" outlineLevel="0" collapsed="false">
      <c r="A693" s="6" t="n">
        <v>309271</v>
      </c>
      <c r="B693" s="6" t="s">
        <v>1082</v>
      </c>
      <c r="C693" s="6" t="s">
        <v>951</v>
      </c>
      <c r="D693" s="6" t="s">
        <v>34</v>
      </c>
      <c r="E693" s="6" t="s">
        <v>35</v>
      </c>
      <c r="F693" s="6" t="n">
        <v>12.972458</v>
      </c>
      <c r="G693" s="6" t="n">
        <v>77.606851</v>
      </c>
      <c r="H693" s="6" t="n">
        <v>4</v>
      </c>
      <c r="I693" s="6" t="n">
        <v>30</v>
      </c>
      <c r="J693" s="6" t="s">
        <v>36</v>
      </c>
      <c r="K693" s="7" t="b">
        <f aca="false">FALSE()</f>
        <v>0</v>
      </c>
    </row>
    <row r="694" customFormat="false" ht="15" hidden="false" customHeight="false" outlineLevel="0" collapsed="false">
      <c r="A694" s="6" t="n">
        <v>309270</v>
      </c>
      <c r="B694" s="6" t="s">
        <v>1083</v>
      </c>
      <c r="C694" s="6" t="s">
        <v>951</v>
      </c>
      <c r="D694" s="6" t="s">
        <v>34</v>
      </c>
      <c r="E694" s="6" t="s">
        <v>35</v>
      </c>
      <c r="F694" s="6" t="n">
        <v>12.972599</v>
      </c>
      <c r="G694" s="6" t="n">
        <v>77.599081</v>
      </c>
      <c r="H694" s="6" t="n">
        <v>1</v>
      </c>
      <c r="I694" s="6" t="n">
        <v>24</v>
      </c>
      <c r="J694" s="6" t="s">
        <v>36</v>
      </c>
      <c r="K694" s="7" t="b">
        <f aca="false">FALSE()</f>
        <v>0</v>
      </c>
    </row>
    <row r="695" customFormat="false" ht="15" hidden="false" customHeight="false" outlineLevel="0" collapsed="false">
      <c r="A695" s="6" t="n">
        <v>309269</v>
      </c>
      <c r="B695" s="6" t="s">
        <v>1084</v>
      </c>
      <c r="C695" s="6" t="s">
        <v>951</v>
      </c>
      <c r="D695" s="6" t="s">
        <v>34</v>
      </c>
      <c r="E695" s="6" t="s">
        <v>35</v>
      </c>
      <c r="F695" s="6" t="n">
        <v>12.974727</v>
      </c>
      <c r="G695" s="6" t="n">
        <v>77.599422</v>
      </c>
      <c r="H695" s="6" t="n">
        <v>1</v>
      </c>
      <c r="I695" s="6" t="n">
        <v>30</v>
      </c>
      <c r="J695" s="6" t="s">
        <v>36</v>
      </c>
      <c r="K695" s="7" t="b">
        <f aca="false">FALSE()</f>
        <v>0</v>
      </c>
    </row>
    <row r="696" customFormat="false" ht="15" hidden="false" customHeight="false" outlineLevel="0" collapsed="false">
      <c r="A696" s="6" t="n">
        <v>309268</v>
      </c>
      <c r="B696" s="6" t="s">
        <v>1085</v>
      </c>
      <c r="C696" s="6" t="s">
        <v>951</v>
      </c>
      <c r="D696" s="6" t="s">
        <v>34</v>
      </c>
      <c r="E696" s="6" t="s">
        <v>35</v>
      </c>
      <c r="F696" s="6" t="n">
        <v>12.973845</v>
      </c>
      <c r="G696" s="6" t="n">
        <v>77.595979</v>
      </c>
      <c r="H696" s="6" t="n">
        <v>1</v>
      </c>
      <c r="I696" s="6" t="n">
        <v>90</v>
      </c>
      <c r="J696" s="6" t="s">
        <v>39</v>
      </c>
      <c r="K696" s="7" t="b">
        <f aca="false">TRUE()</f>
        <v>1</v>
      </c>
    </row>
    <row r="697" customFormat="false" ht="15" hidden="false" customHeight="false" outlineLevel="0" collapsed="false">
      <c r="A697" s="6" t="n">
        <v>309267</v>
      </c>
      <c r="B697" s="6" t="s">
        <v>1086</v>
      </c>
      <c r="C697" s="6" t="s">
        <v>951</v>
      </c>
      <c r="D697" s="6" t="s">
        <v>34</v>
      </c>
      <c r="E697" s="6" t="s">
        <v>35</v>
      </c>
      <c r="F697" s="6" t="n">
        <v>12.972288</v>
      </c>
      <c r="G697" s="6" t="n">
        <v>77.594927</v>
      </c>
      <c r="H697" s="6" t="n">
        <v>1</v>
      </c>
      <c r="I697" s="6" t="n">
        <v>60</v>
      </c>
      <c r="J697" s="6" t="s">
        <v>39</v>
      </c>
      <c r="K697" s="7" t="b">
        <f aca="false">TRUE()</f>
        <v>1</v>
      </c>
    </row>
    <row r="698" customFormat="false" ht="15" hidden="false" customHeight="false" outlineLevel="0" collapsed="false">
      <c r="A698" s="6" t="n">
        <v>309266</v>
      </c>
      <c r="B698" s="6" t="s">
        <v>1087</v>
      </c>
      <c r="C698" s="6" t="s">
        <v>951</v>
      </c>
      <c r="D698" s="6" t="s">
        <v>34</v>
      </c>
      <c r="E698" s="6" t="s">
        <v>35</v>
      </c>
      <c r="F698" s="6" t="n">
        <v>12.970015</v>
      </c>
      <c r="G698" s="6" t="n">
        <v>77.600475</v>
      </c>
      <c r="H698" s="6" t="n">
        <v>1</v>
      </c>
      <c r="I698" s="6" t="n">
        <v>60</v>
      </c>
      <c r="J698" s="6" t="s">
        <v>39</v>
      </c>
      <c r="K698" s="7" t="b">
        <f aca="false">TRUE()</f>
        <v>1</v>
      </c>
    </row>
    <row r="699" customFormat="false" ht="15" hidden="false" customHeight="false" outlineLevel="0" collapsed="false">
      <c r="A699" s="6" t="n">
        <v>309265</v>
      </c>
      <c r="B699" s="6" t="s">
        <v>1088</v>
      </c>
      <c r="C699" s="6" t="s">
        <v>1089</v>
      </c>
      <c r="D699" s="6" t="s">
        <v>34</v>
      </c>
      <c r="E699" s="6" t="s">
        <v>35</v>
      </c>
      <c r="F699" s="6" t="n">
        <v>14.14024</v>
      </c>
      <c r="G699" s="6" t="n">
        <v>75.55737</v>
      </c>
      <c r="H699" s="6" t="n">
        <v>1</v>
      </c>
      <c r="I699" s="6" t="n">
        <v>30</v>
      </c>
      <c r="J699" s="6" t="s">
        <v>36</v>
      </c>
      <c r="K699" s="7" t="b">
        <f aca="false">FALSE()</f>
        <v>0</v>
      </c>
    </row>
    <row r="700" customFormat="false" ht="15" hidden="false" customHeight="false" outlineLevel="0" collapsed="false">
      <c r="A700" s="6" t="n">
        <v>309235</v>
      </c>
      <c r="B700" s="6" t="s">
        <v>1090</v>
      </c>
      <c r="C700" s="6" t="s">
        <v>1091</v>
      </c>
      <c r="D700" s="6" t="s">
        <v>72</v>
      </c>
      <c r="E700" s="6" t="s">
        <v>35</v>
      </c>
      <c r="F700" s="6" t="n">
        <v>19.051819</v>
      </c>
      <c r="G700" s="6" t="n">
        <v>74.723431</v>
      </c>
      <c r="H700" s="6" t="n">
        <v>2</v>
      </c>
      <c r="I700" s="6" t="n">
        <v>60</v>
      </c>
      <c r="J700" s="6" t="s">
        <v>39</v>
      </c>
      <c r="K700" s="7" t="b">
        <f aca="false">TRUE()</f>
        <v>1</v>
      </c>
    </row>
    <row r="701" customFormat="false" ht="15" hidden="false" customHeight="false" outlineLevel="0" collapsed="false">
      <c r="A701" s="6" t="n">
        <v>309232</v>
      </c>
      <c r="B701" s="6" t="s">
        <v>1092</v>
      </c>
      <c r="C701" s="6" t="s">
        <v>1093</v>
      </c>
      <c r="D701" s="6" t="s">
        <v>34</v>
      </c>
      <c r="E701" s="6" t="s">
        <v>35</v>
      </c>
      <c r="F701" s="6" t="n">
        <v>15.43437</v>
      </c>
      <c r="G701" s="6" t="n">
        <v>74.46271</v>
      </c>
      <c r="H701" s="6" t="n">
        <v>1</v>
      </c>
      <c r="I701" s="6" t="n">
        <v>60</v>
      </c>
      <c r="J701" s="6" t="s">
        <v>39</v>
      </c>
      <c r="K701" s="7" t="b">
        <f aca="false">TRUE()</f>
        <v>1</v>
      </c>
    </row>
    <row r="702" customFormat="false" ht="15" hidden="false" customHeight="false" outlineLevel="0" collapsed="false">
      <c r="A702" s="6" t="n">
        <v>309231</v>
      </c>
      <c r="B702" s="6" t="s">
        <v>1094</v>
      </c>
      <c r="C702" s="6" t="s">
        <v>1095</v>
      </c>
      <c r="D702" s="6" t="s">
        <v>34</v>
      </c>
      <c r="E702" s="6" t="s">
        <v>35</v>
      </c>
      <c r="F702" s="6" t="n">
        <v>14.52576</v>
      </c>
      <c r="G702" s="6" t="n">
        <v>74.31716</v>
      </c>
      <c r="H702" s="6" t="n">
        <v>1</v>
      </c>
      <c r="I702" s="6" t="n">
        <v>7</v>
      </c>
      <c r="J702" s="6" t="s">
        <v>126</v>
      </c>
      <c r="K702" s="7" t="b">
        <f aca="false">FALSE()</f>
        <v>0</v>
      </c>
    </row>
    <row r="703" customFormat="false" ht="15" hidden="false" customHeight="false" outlineLevel="0" collapsed="false">
      <c r="A703" s="6" t="n">
        <v>309230</v>
      </c>
      <c r="B703" s="6" t="s">
        <v>1096</v>
      </c>
      <c r="C703" s="6" t="s">
        <v>1097</v>
      </c>
      <c r="D703" s="6" t="s">
        <v>34</v>
      </c>
      <c r="E703" s="6" t="s">
        <v>35</v>
      </c>
      <c r="F703" s="6" t="n">
        <v>14.341171</v>
      </c>
      <c r="G703" s="6" t="n">
        <v>74.890898</v>
      </c>
      <c r="H703" s="6" t="n">
        <v>1</v>
      </c>
      <c r="I703" s="6" t="n">
        <v>30</v>
      </c>
      <c r="J703" s="6" t="s">
        <v>36</v>
      </c>
      <c r="K703" s="7" t="b">
        <f aca="false">FALSE()</f>
        <v>0</v>
      </c>
    </row>
    <row r="704" customFormat="false" ht="15" hidden="false" customHeight="false" outlineLevel="0" collapsed="false">
      <c r="A704" s="6" t="n">
        <v>309229</v>
      </c>
      <c r="B704" s="6" t="s">
        <v>1098</v>
      </c>
      <c r="C704" s="6" t="s">
        <v>1099</v>
      </c>
      <c r="D704" s="6" t="s">
        <v>34</v>
      </c>
      <c r="E704" s="6" t="s">
        <v>35</v>
      </c>
      <c r="F704" s="6" t="n">
        <v>13.85362</v>
      </c>
      <c r="G704" s="6" t="n">
        <v>74.6304</v>
      </c>
      <c r="H704" s="6" t="n">
        <v>1</v>
      </c>
      <c r="I704" s="6" t="n">
        <v>30</v>
      </c>
      <c r="J704" s="6" t="s">
        <v>36</v>
      </c>
      <c r="K704" s="7" t="b">
        <f aca="false">FALSE()</f>
        <v>0</v>
      </c>
    </row>
    <row r="705" customFormat="false" ht="15" hidden="false" customHeight="false" outlineLevel="0" collapsed="false">
      <c r="A705" s="6" t="n">
        <v>309228</v>
      </c>
      <c r="B705" s="6" t="s">
        <v>1100</v>
      </c>
      <c r="C705" s="6" t="s">
        <v>1101</v>
      </c>
      <c r="D705" s="6" t="s">
        <v>34</v>
      </c>
      <c r="E705" s="6" t="s">
        <v>35</v>
      </c>
      <c r="F705" s="6" t="n">
        <v>13.65205</v>
      </c>
      <c r="G705" s="6" t="n">
        <v>74.70635</v>
      </c>
      <c r="H705" s="6" t="n">
        <v>1</v>
      </c>
      <c r="I705" s="6" t="n">
        <v>30</v>
      </c>
      <c r="J705" s="6" t="s">
        <v>36</v>
      </c>
      <c r="K705" s="7" t="b">
        <f aca="false">FALSE()</f>
        <v>0</v>
      </c>
    </row>
    <row r="706" customFormat="false" ht="15" hidden="false" customHeight="false" outlineLevel="0" collapsed="false">
      <c r="A706" s="6" t="n">
        <v>309227</v>
      </c>
      <c r="B706" s="6" t="s">
        <v>1102</v>
      </c>
      <c r="C706" s="6" t="s">
        <v>1103</v>
      </c>
      <c r="D706" s="6" t="s">
        <v>34</v>
      </c>
      <c r="E706" s="6" t="s">
        <v>35</v>
      </c>
      <c r="F706" s="6" t="n">
        <v>13.47826</v>
      </c>
      <c r="G706" s="6" t="n">
        <v>74.7132</v>
      </c>
      <c r="H706" s="6" t="n">
        <v>1</v>
      </c>
      <c r="I706" s="6" t="n">
        <v>30</v>
      </c>
      <c r="J706" s="6" t="s">
        <v>36</v>
      </c>
      <c r="K706" s="7" t="b">
        <f aca="false">FALSE()</f>
        <v>0</v>
      </c>
    </row>
    <row r="707" customFormat="false" ht="15" hidden="false" customHeight="false" outlineLevel="0" collapsed="false">
      <c r="A707" s="6" t="n">
        <v>309226</v>
      </c>
      <c r="B707" s="6" t="s">
        <v>1104</v>
      </c>
      <c r="C707" s="6" t="s">
        <v>1105</v>
      </c>
      <c r="D707" s="6" t="s">
        <v>34</v>
      </c>
      <c r="E707" s="6" t="s">
        <v>35</v>
      </c>
      <c r="F707" s="6" t="n">
        <v>13.45598</v>
      </c>
      <c r="G707" s="6" t="n">
        <v>74.98411</v>
      </c>
      <c r="H707" s="6" t="n">
        <v>1</v>
      </c>
      <c r="I707" s="6" t="n">
        <v>30</v>
      </c>
      <c r="J707" s="6" t="s">
        <v>36</v>
      </c>
      <c r="K707" s="7" t="b">
        <f aca="false">FALSE()</f>
        <v>0</v>
      </c>
    </row>
    <row r="708" customFormat="false" ht="15" hidden="false" customHeight="false" outlineLevel="0" collapsed="false">
      <c r="A708" s="6" t="n">
        <v>309225</v>
      </c>
      <c r="B708" s="6" t="s">
        <v>1106</v>
      </c>
      <c r="C708" s="6" t="s">
        <v>1107</v>
      </c>
      <c r="D708" s="6" t="s">
        <v>34</v>
      </c>
      <c r="E708" s="6" t="s">
        <v>35</v>
      </c>
      <c r="F708" s="6" t="n">
        <v>13.19883</v>
      </c>
      <c r="G708" s="6" t="n">
        <v>75.06799</v>
      </c>
      <c r="H708" s="6" t="n">
        <v>1</v>
      </c>
      <c r="I708" s="6" t="n">
        <v>30</v>
      </c>
      <c r="J708" s="6" t="s">
        <v>36</v>
      </c>
      <c r="K708" s="7" t="b">
        <f aca="false">FALSE()</f>
        <v>0</v>
      </c>
    </row>
    <row r="709" customFormat="false" ht="15" hidden="false" customHeight="false" outlineLevel="0" collapsed="false">
      <c r="A709" s="6" t="n">
        <v>309224</v>
      </c>
      <c r="B709" s="6" t="s">
        <v>1108</v>
      </c>
      <c r="C709" s="6" t="s">
        <v>1109</v>
      </c>
      <c r="D709" s="6" t="s">
        <v>34</v>
      </c>
      <c r="E709" s="6" t="s">
        <v>35</v>
      </c>
      <c r="F709" s="6" t="n">
        <v>13.05771</v>
      </c>
      <c r="G709" s="6" t="n">
        <v>75.03821</v>
      </c>
      <c r="H709" s="6" t="n">
        <v>1</v>
      </c>
      <c r="I709" s="6" t="n">
        <v>30</v>
      </c>
      <c r="J709" s="6" t="s">
        <v>36</v>
      </c>
      <c r="K709" s="7" t="b">
        <f aca="false">FALSE()</f>
        <v>0</v>
      </c>
    </row>
    <row r="710" customFormat="false" ht="15" hidden="false" customHeight="false" outlineLevel="0" collapsed="false">
      <c r="A710" s="6" t="n">
        <v>309223</v>
      </c>
      <c r="B710" s="6" t="s">
        <v>1110</v>
      </c>
      <c r="C710" s="6" t="s">
        <v>1111</v>
      </c>
      <c r="D710" s="6" t="s">
        <v>34</v>
      </c>
      <c r="E710" s="6" t="s">
        <v>35</v>
      </c>
      <c r="F710" s="6" t="n">
        <v>12.941033</v>
      </c>
      <c r="G710" s="6" t="n">
        <v>76.350643</v>
      </c>
      <c r="H710" s="6" t="n">
        <v>1</v>
      </c>
      <c r="I710" s="6" t="n">
        <v>60</v>
      </c>
      <c r="J710" s="6" t="s">
        <v>39</v>
      </c>
      <c r="K710" s="7" t="b">
        <f aca="false">TRUE()</f>
        <v>1</v>
      </c>
    </row>
    <row r="711" customFormat="false" ht="15" hidden="false" customHeight="false" outlineLevel="0" collapsed="false">
      <c r="A711" s="6" t="n">
        <v>309221</v>
      </c>
      <c r="B711" s="6" t="s">
        <v>1112</v>
      </c>
      <c r="C711" s="6" t="s">
        <v>1113</v>
      </c>
      <c r="D711" s="6" t="s">
        <v>34</v>
      </c>
      <c r="E711" s="6" t="s">
        <v>35</v>
      </c>
      <c r="F711" s="6" t="n">
        <v>12.86689</v>
      </c>
      <c r="G711" s="6" t="n">
        <v>74.90518</v>
      </c>
      <c r="H711" s="6" t="n">
        <v>1</v>
      </c>
      <c r="I711" s="6" t="n">
        <v>60</v>
      </c>
      <c r="J711" s="6" t="s">
        <v>39</v>
      </c>
      <c r="K711" s="7" t="b">
        <f aca="false">TRUE()</f>
        <v>1</v>
      </c>
    </row>
    <row r="712" customFormat="false" ht="15" hidden="false" customHeight="false" outlineLevel="0" collapsed="false">
      <c r="A712" s="6" t="n">
        <v>309220</v>
      </c>
      <c r="B712" s="6" t="s">
        <v>1114</v>
      </c>
      <c r="C712" s="6" t="s">
        <v>951</v>
      </c>
      <c r="D712" s="6" t="s">
        <v>34</v>
      </c>
      <c r="E712" s="6" t="s">
        <v>35</v>
      </c>
      <c r="F712" s="6" t="n">
        <v>13.04291</v>
      </c>
      <c r="G712" s="6" t="n">
        <v>77.60927</v>
      </c>
      <c r="H712" s="6" t="n">
        <v>1</v>
      </c>
      <c r="I712" s="6" t="n">
        <v>25</v>
      </c>
      <c r="J712" s="6" t="s">
        <v>36</v>
      </c>
      <c r="K712" s="7" t="b">
        <f aca="false">FALSE()</f>
        <v>0</v>
      </c>
    </row>
    <row r="713" customFormat="false" ht="15" hidden="false" customHeight="false" outlineLevel="0" collapsed="false">
      <c r="A713" s="6" t="n">
        <v>309190</v>
      </c>
      <c r="B713" s="6" t="s">
        <v>1115</v>
      </c>
      <c r="C713" s="6" t="s">
        <v>951</v>
      </c>
      <c r="D713" s="6" t="s">
        <v>34</v>
      </c>
      <c r="E713" s="6" t="s">
        <v>35</v>
      </c>
      <c r="F713" s="6" t="n">
        <v>13.046755</v>
      </c>
      <c r="G713" s="6" t="n">
        <v>77.591236</v>
      </c>
      <c r="H713" s="6" t="n">
        <v>1</v>
      </c>
      <c r="I713" s="6" t="n">
        <v>60</v>
      </c>
      <c r="J713" s="6" t="s">
        <v>39</v>
      </c>
      <c r="K713" s="7" t="b">
        <f aca="false">TRUE()</f>
        <v>1</v>
      </c>
    </row>
    <row r="714" customFormat="false" ht="15" hidden="false" customHeight="false" outlineLevel="0" collapsed="false">
      <c r="A714" s="6" t="n">
        <v>309189</v>
      </c>
      <c r="B714" s="6" t="s">
        <v>1116</v>
      </c>
      <c r="C714" s="6" t="s">
        <v>951</v>
      </c>
      <c r="D714" s="6" t="s">
        <v>34</v>
      </c>
      <c r="E714" s="6" t="s">
        <v>35</v>
      </c>
      <c r="F714" s="6" t="n">
        <v>13.001138</v>
      </c>
      <c r="G714" s="6" t="n">
        <v>77.63254</v>
      </c>
      <c r="H714" s="6" t="n">
        <v>2</v>
      </c>
      <c r="I714" s="6" t="n">
        <v>60</v>
      </c>
      <c r="J714" s="6" t="s">
        <v>39</v>
      </c>
      <c r="K714" s="7" t="b">
        <f aca="false">TRUE()</f>
        <v>1</v>
      </c>
    </row>
    <row r="715" customFormat="false" ht="15" hidden="false" customHeight="false" outlineLevel="0" collapsed="false">
      <c r="A715" s="6" t="n">
        <v>309188</v>
      </c>
      <c r="B715" s="6" t="s">
        <v>1117</v>
      </c>
      <c r="C715" s="6" t="s">
        <v>951</v>
      </c>
      <c r="D715" s="6" t="s">
        <v>34</v>
      </c>
      <c r="E715" s="6" t="s">
        <v>35</v>
      </c>
      <c r="F715" s="6" t="n">
        <v>13.04204</v>
      </c>
      <c r="G715" s="6" t="n">
        <v>77.55465</v>
      </c>
      <c r="H715" s="6" t="n">
        <v>1</v>
      </c>
      <c r="I715" s="6" t="n">
        <v>25</v>
      </c>
      <c r="J715" s="6" t="s">
        <v>36</v>
      </c>
      <c r="K715" s="7" t="b">
        <f aca="false">FALSE()</f>
        <v>0</v>
      </c>
    </row>
    <row r="716" customFormat="false" ht="15" hidden="false" customHeight="false" outlineLevel="0" collapsed="false">
      <c r="A716" s="6" t="n">
        <v>309187</v>
      </c>
      <c r="B716" s="6" t="s">
        <v>1118</v>
      </c>
      <c r="C716" s="6" t="s">
        <v>951</v>
      </c>
      <c r="D716" s="6" t="s">
        <v>34</v>
      </c>
      <c r="E716" s="6" t="s">
        <v>35</v>
      </c>
      <c r="F716" s="6" t="n">
        <v>13.04612</v>
      </c>
      <c r="G716" s="6" t="n">
        <v>77.6269</v>
      </c>
      <c r="H716" s="6" t="n">
        <v>3</v>
      </c>
      <c r="I716" s="6" t="n">
        <v>150</v>
      </c>
      <c r="J716" s="6" t="s">
        <v>748</v>
      </c>
      <c r="K716" s="7" t="b">
        <f aca="false">TRUE()</f>
        <v>1</v>
      </c>
    </row>
    <row r="717" customFormat="false" ht="15" hidden="false" customHeight="false" outlineLevel="0" collapsed="false">
      <c r="A717" s="6" t="n">
        <v>309186</v>
      </c>
      <c r="B717" s="6" t="s">
        <v>1119</v>
      </c>
      <c r="C717" s="6" t="s">
        <v>951</v>
      </c>
      <c r="D717" s="6" t="s">
        <v>34</v>
      </c>
      <c r="E717" s="6" t="s">
        <v>35</v>
      </c>
      <c r="F717" s="6" t="n">
        <v>13.087848</v>
      </c>
      <c r="G717" s="6" t="n">
        <v>77.660148</v>
      </c>
      <c r="H717" s="6" t="n">
        <v>56</v>
      </c>
      <c r="I717" s="6" t="n">
        <v>60</v>
      </c>
      <c r="J717" s="6" t="s">
        <v>39</v>
      </c>
      <c r="K717" s="7" t="b">
        <f aca="false">TRUE()</f>
        <v>1</v>
      </c>
    </row>
    <row r="718" customFormat="false" ht="15" hidden="false" customHeight="false" outlineLevel="0" collapsed="false">
      <c r="A718" s="6" t="n">
        <v>309185</v>
      </c>
      <c r="B718" s="6" t="s">
        <v>1120</v>
      </c>
      <c r="C718" s="6" t="s">
        <v>951</v>
      </c>
      <c r="D718" s="6" t="s">
        <v>34</v>
      </c>
      <c r="E718" s="6" t="s">
        <v>35</v>
      </c>
      <c r="F718" s="6" t="n">
        <v>13.11756</v>
      </c>
      <c r="G718" s="6" t="n">
        <v>77.60923</v>
      </c>
      <c r="H718" s="6" t="n">
        <v>1</v>
      </c>
      <c r="I718" s="6" t="n">
        <v>50</v>
      </c>
      <c r="J718" s="6" t="s">
        <v>39</v>
      </c>
      <c r="K718" s="7" t="b">
        <f aca="false">TRUE()</f>
        <v>1</v>
      </c>
    </row>
    <row r="719" customFormat="false" ht="15" hidden="false" customHeight="false" outlineLevel="0" collapsed="false">
      <c r="A719" s="6" t="n">
        <v>309158</v>
      </c>
      <c r="B719" s="6" t="s">
        <v>1121</v>
      </c>
      <c r="C719" s="6" t="s">
        <v>951</v>
      </c>
      <c r="D719" s="6" t="s">
        <v>34</v>
      </c>
      <c r="E719" s="6" t="s">
        <v>35</v>
      </c>
      <c r="F719" s="6" t="n">
        <v>13.16554</v>
      </c>
      <c r="G719" s="6" t="n">
        <v>77.62933</v>
      </c>
      <c r="H719" s="6" t="n">
        <v>1</v>
      </c>
      <c r="I719" s="6" t="n">
        <v>60</v>
      </c>
      <c r="J719" s="6" t="s">
        <v>39</v>
      </c>
      <c r="K719" s="7" t="b">
        <f aca="false">TRUE()</f>
        <v>1</v>
      </c>
    </row>
    <row r="720" customFormat="false" ht="15" hidden="false" customHeight="false" outlineLevel="0" collapsed="false">
      <c r="A720" s="6" t="n">
        <v>309157</v>
      </c>
      <c r="B720" s="6" t="s">
        <v>1122</v>
      </c>
      <c r="C720" s="6" t="s">
        <v>951</v>
      </c>
      <c r="D720" s="6" t="s">
        <v>34</v>
      </c>
      <c r="E720" s="6" t="s">
        <v>35</v>
      </c>
      <c r="F720" s="6" t="n">
        <v>13.19211</v>
      </c>
      <c r="G720" s="6" t="n">
        <v>77.64456</v>
      </c>
      <c r="H720" s="6" t="n">
        <v>1</v>
      </c>
      <c r="I720" s="6" t="n">
        <v>30</v>
      </c>
      <c r="J720" s="6" t="s">
        <v>36</v>
      </c>
      <c r="K720" s="7" t="b">
        <f aca="false">FALSE()</f>
        <v>0</v>
      </c>
    </row>
    <row r="721" customFormat="false" ht="15" hidden="false" customHeight="false" outlineLevel="0" collapsed="false">
      <c r="A721" s="6" t="n">
        <v>309156</v>
      </c>
      <c r="B721" s="6" t="s">
        <v>1123</v>
      </c>
      <c r="C721" s="6" t="s">
        <v>1124</v>
      </c>
      <c r="D721" s="6" t="s">
        <v>34</v>
      </c>
      <c r="E721" s="6" t="s">
        <v>35</v>
      </c>
      <c r="F721" s="6" t="n">
        <v>13.19218</v>
      </c>
      <c r="G721" s="6" t="n">
        <v>77.64652</v>
      </c>
      <c r="H721" s="6" t="n">
        <v>1</v>
      </c>
      <c r="I721" s="6" t="n">
        <v>30</v>
      </c>
      <c r="J721" s="6" t="s">
        <v>36</v>
      </c>
      <c r="K721" s="7" t="b">
        <f aca="false">FALSE()</f>
        <v>0</v>
      </c>
    </row>
    <row r="722" customFormat="false" ht="15" hidden="false" customHeight="false" outlineLevel="0" collapsed="false">
      <c r="A722" s="6" t="n">
        <v>309155</v>
      </c>
      <c r="B722" s="6" t="s">
        <v>1125</v>
      </c>
      <c r="C722" s="6" t="s">
        <v>1126</v>
      </c>
      <c r="D722" s="6" t="s">
        <v>34</v>
      </c>
      <c r="E722" s="6" t="s">
        <v>35</v>
      </c>
      <c r="F722" s="6" t="n">
        <v>13.34843</v>
      </c>
      <c r="G722" s="6" t="n">
        <v>77.68211</v>
      </c>
      <c r="H722" s="6" t="n">
        <v>1</v>
      </c>
      <c r="I722" s="6" t="n">
        <v>30</v>
      </c>
      <c r="J722" s="6" t="s">
        <v>36</v>
      </c>
      <c r="K722" s="7" t="b">
        <f aca="false">FALSE()</f>
        <v>0</v>
      </c>
    </row>
    <row r="723" customFormat="false" ht="15" hidden="false" customHeight="false" outlineLevel="0" collapsed="false">
      <c r="A723" s="6" t="n">
        <v>309154</v>
      </c>
      <c r="B723" s="6" t="s">
        <v>1127</v>
      </c>
      <c r="C723" s="6" t="s">
        <v>1128</v>
      </c>
      <c r="D723" s="6" t="s">
        <v>34</v>
      </c>
      <c r="E723" s="6" t="s">
        <v>35</v>
      </c>
      <c r="F723" s="6" t="n">
        <v>13.31205</v>
      </c>
      <c r="G723" s="6" t="n">
        <v>77.69087</v>
      </c>
      <c r="H723" s="6" t="n">
        <v>1</v>
      </c>
      <c r="I723" s="6" t="n">
        <v>30</v>
      </c>
      <c r="J723" s="6" t="s">
        <v>36</v>
      </c>
      <c r="K723" s="7" t="b">
        <f aca="false">FALSE()</f>
        <v>0</v>
      </c>
    </row>
    <row r="724" customFormat="false" ht="15" hidden="false" customHeight="false" outlineLevel="0" collapsed="false">
      <c r="A724" s="6" t="n">
        <v>309153</v>
      </c>
      <c r="B724" s="6" t="s">
        <v>1129</v>
      </c>
      <c r="C724" s="6" t="s">
        <v>951</v>
      </c>
      <c r="D724" s="6" t="s">
        <v>34</v>
      </c>
      <c r="E724" s="6" t="s">
        <v>35</v>
      </c>
      <c r="F724" s="6" t="n">
        <v>13.19736</v>
      </c>
      <c r="G724" s="6" t="n">
        <v>77.71011</v>
      </c>
      <c r="H724" s="6" t="n">
        <v>1</v>
      </c>
      <c r="I724" s="6" t="n">
        <v>60</v>
      </c>
      <c r="J724" s="6" t="s">
        <v>39</v>
      </c>
      <c r="K724" s="7" t="b">
        <f aca="false">TRUE()</f>
        <v>1</v>
      </c>
    </row>
    <row r="725" customFormat="false" ht="15" hidden="false" customHeight="false" outlineLevel="0" collapsed="false">
      <c r="A725" s="6" t="n">
        <v>309152</v>
      </c>
      <c r="B725" s="6" t="s">
        <v>1130</v>
      </c>
      <c r="C725" s="6" t="s">
        <v>1131</v>
      </c>
      <c r="D725" s="6" t="s">
        <v>34</v>
      </c>
      <c r="E725" s="6" t="s">
        <v>35</v>
      </c>
      <c r="F725" s="6" t="n">
        <v>13.24117</v>
      </c>
      <c r="G725" s="6" t="n">
        <v>77.70313</v>
      </c>
      <c r="H725" s="6" t="n">
        <v>1</v>
      </c>
      <c r="I725" s="6" t="n">
        <v>120</v>
      </c>
      <c r="J725" s="6" t="s">
        <v>39</v>
      </c>
      <c r="K725" s="7" t="b">
        <f aca="false">TRUE()</f>
        <v>1</v>
      </c>
    </row>
    <row r="726" customFormat="false" ht="15" hidden="false" customHeight="false" outlineLevel="0" collapsed="false">
      <c r="A726" s="6" t="n">
        <v>309151</v>
      </c>
      <c r="B726" s="6" t="s">
        <v>1132</v>
      </c>
      <c r="C726" s="6" t="s">
        <v>951</v>
      </c>
      <c r="D726" s="6" t="s">
        <v>34</v>
      </c>
      <c r="E726" s="6" t="s">
        <v>35</v>
      </c>
      <c r="F726" s="6" t="n">
        <v>13.18324</v>
      </c>
      <c r="G726" s="6" t="n">
        <v>77.67608</v>
      </c>
      <c r="H726" s="6" t="n">
        <v>10</v>
      </c>
      <c r="I726" s="6" t="n">
        <v>60</v>
      </c>
      <c r="J726" s="6" t="s">
        <v>39</v>
      </c>
      <c r="K726" s="7" t="b">
        <f aca="false">TRUE()</f>
        <v>1</v>
      </c>
    </row>
    <row r="727" customFormat="false" ht="15" hidden="false" customHeight="false" outlineLevel="0" collapsed="false">
      <c r="A727" s="6" t="n">
        <v>309150</v>
      </c>
      <c r="B727" s="6" t="s">
        <v>1133</v>
      </c>
      <c r="C727" s="6" t="s">
        <v>951</v>
      </c>
      <c r="D727" s="6" t="s">
        <v>34</v>
      </c>
      <c r="E727" s="6" t="s">
        <v>35</v>
      </c>
      <c r="F727" s="6" t="n">
        <v>13.15341</v>
      </c>
      <c r="G727" s="6" t="n">
        <v>77.72827</v>
      </c>
      <c r="H727" s="6" t="n">
        <v>1</v>
      </c>
      <c r="I727" s="6" t="n">
        <v>30</v>
      </c>
      <c r="J727" s="6" t="s">
        <v>36</v>
      </c>
      <c r="K727" s="7" t="b">
        <f aca="false">FALSE()</f>
        <v>0</v>
      </c>
    </row>
    <row r="728" customFormat="false" ht="15" hidden="false" customHeight="false" outlineLevel="0" collapsed="false">
      <c r="A728" s="6" t="n">
        <v>309149</v>
      </c>
      <c r="B728" s="6" t="s">
        <v>1134</v>
      </c>
      <c r="C728" s="6" t="s">
        <v>951</v>
      </c>
      <c r="D728" s="6" t="s">
        <v>34</v>
      </c>
      <c r="E728" s="6" t="s">
        <v>35</v>
      </c>
      <c r="F728" s="6" t="n">
        <v>13.05515</v>
      </c>
      <c r="G728" s="6" t="n">
        <v>77.7638</v>
      </c>
      <c r="H728" s="6" t="n">
        <v>1</v>
      </c>
      <c r="I728" s="6" t="n">
        <v>60</v>
      </c>
      <c r="J728" s="6" t="s">
        <v>39</v>
      </c>
      <c r="K728" s="7" t="b">
        <f aca="false">TRUE()</f>
        <v>1</v>
      </c>
    </row>
    <row r="729" customFormat="false" ht="15" hidden="false" customHeight="false" outlineLevel="0" collapsed="false">
      <c r="A729" s="6" t="n">
        <v>309148</v>
      </c>
      <c r="B729" s="6" t="s">
        <v>1135</v>
      </c>
      <c r="C729" s="6" t="s">
        <v>951</v>
      </c>
      <c r="D729" s="6" t="s">
        <v>34</v>
      </c>
      <c r="E729" s="6" t="s">
        <v>35</v>
      </c>
      <c r="F729" s="6" t="n">
        <v>13.05242</v>
      </c>
      <c r="G729" s="6" t="n">
        <v>77.74675</v>
      </c>
      <c r="H729" s="6" t="n">
        <v>1</v>
      </c>
      <c r="I729" s="6" t="n">
        <v>150</v>
      </c>
      <c r="J729" s="6" t="s">
        <v>748</v>
      </c>
      <c r="K729" s="7" t="b">
        <f aca="false">TRUE()</f>
        <v>1</v>
      </c>
    </row>
    <row r="730" customFormat="false" ht="15" hidden="false" customHeight="false" outlineLevel="0" collapsed="false">
      <c r="A730" s="6" t="n">
        <v>309099</v>
      </c>
      <c r="B730" s="6" t="s">
        <v>1136</v>
      </c>
      <c r="C730" s="6" t="s">
        <v>951</v>
      </c>
      <c r="D730" s="6" t="s">
        <v>34</v>
      </c>
      <c r="E730" s="6" t="s">
        <v>35</v>
      </c>
      <c r="F730" s="6" t="n">
        <v>12.96728</v>
      </c>
      <c r="G730" s="6" t="n">
        <v>77.59552</v>
      </c>
      <c r="H730" s="6" t="n">
        <v>1</v>
      </c>
      <c r="I730" s="6" t="n">
        <v>30</v>
      </c>
      <c r="J730" s="6" t="s">
        <v>36</v>
      </c>
      <c r="K730" s="7" t="b">
        <f aca="false">FALSE()</f>
        <v>0</v>
      </c>
    </row>
    <row r="731" customFormat="false" ht="15" hidden="false" customHeight="false" outlineLevel="0" collapsed="false">
      <c r="A731" s="6" t="n">
        <v>309098</v>
      </c>
      <c r="B731" s="6" t="s">
        <v>1137</v>
      </c>
      <c r="C731" s="6" t="s">
        <v>951</v>
      </c>
      <c r="D731" s="6" t="s">
        <v>34</v>
      </c>
      <c r="E731" s="6" t="s">
        <v>35</v>
      </c>
      <c r="F731" s="6" t="n">
        <v>12.96192</v>
      </c>
      <c r="G731" s="6" t="n">
        <v>77.59922</v>
      </c>
      <c r="H731" s="6" t="n">
        <v>1</v>
      </c>
      <c r="I731" s="6" t="n">
        <v>60</v>
      </c>
      <c r="J731" s="6" t="s">
        <v>39</v>
      </c>
      <c r="K731" s="7" t="b">
        <f aca="false">TRUE()</f>
        <v>1</v>
      </c>
    </row>
    <row r="732" customFormat="false" ht="15" hidden="false" customHeight="false" outlineLevel="0" collapsed="false">
      <c r="A732" s="6" t="n">
        <v>309097</v>
      </c>
      <c r="B732" s="6" t="s">
        <v>1138</v>
      </c>
      <c r="C732" s="6" t="s">
        <v>951</v>
      </c>
      <c r="D732" s="6" t="s">
        <v>34</v>
      </c>
      <c r="E732" s="6" t="s">
        <v>35</v>
      </c>
      <c r="F732" s="6" t="n">
        <v>12.96751</v>
      </c>
      <c r="G732" s="6" t="n">
        <v>77.5939</v>
      </c>
      <c r="H732" s="6" t="n">
        <v>1</v>
      </c>
      <c r="I732" s="6" t="n">
        <v>60</v>
      </c>
      <c r="J732" s="6" t="s">
        <v>39</v>
      </c>
      <c r="K732" s="7" t="b">
        <f aca="false">TRUE()</f>
        <v>1</v>
      </c>
    </row>
    <row r="733" customFormat="false" ht="15" hidden="false" customHeight="false" outlineLevel="0" collapsed="false">
      <c r="A733" s="6" t="n">
        <v>309096</v>
      </c>
      <c r="B733" s="6" t="s">
        <v>1139</v>
      </c>
      <c r="C733" s="6" t="s">
        <v>1140</v>
      </c>
      <c r="D733" s="6" t="s">
        <v>34</v>
      </c>
      <c r="E733" s="6" t="s">
        <v>35</v>
      </c>
      <c r="F733" s="6" t="n">
        <v>12.440927</v>
      </c>
      <c r="G733" s="6" t="n">
        <v>75.71641</v>
      </c>
      <c r="H733" s="6" t="n">
        <v>1</v>
      </c>
      <c r="I733" s="6" t="n">
        <v>22</v>
      </c>
      <c r="J733" s="6" t="s">
        <v>36</v>
      </c>
      <c r="K733" s="7" t="b">
        <f aca="false">FALSE()</f>
        <v>0</v>
      </c>
    </row>
    <row r="734" customFormat="false" ht="15" hidden="false" customHeight="false" outlineLevel="0" collapsed="false">
      <c r="A734" s="6" t="n">
        <v>309095</v>
      </c>
      <c r="B734" s="6" t="s">
        <v>1141</v>
      </c>
      <c r="C734" s="6" t="s">
        <v>1142</v>
      </c>
      <c r="D734" s="6" t="s">
        <v>34</v>
      </c>
      <c r="E734" s="6" t="s">
        <v>35</v>
      </c>
      <c r="F734" s="6" t="n">
        <v>13.00219</v>
      </c>
      <c r="G734" s="6" t="n">
        <v>76.139602</v>
      </c>
      <c r="H734" s="6" t="n">
        <v>1</v>
      </c>
      <c r="I734" s="6" t="n">
        <v>60</v>
      </c>
      <c r="J734" s="6" t="s">
        <v>39</v>
      </c>
      <c r="K734" s="7" t="b">
        <f aca="false">TRUE()</f>
        <v>1</v>
      </c>
    </row>
    <row r="735" customFormat="false" ht="15" hidden="false" customHeight="false" outlineLevel="0" collapsed="false">
      <c r="A735" s="6" t="n">
        <v>309076</v>
      </c>
      <c r="B735" s="6" t="s">
        <v>1143</v>
      </c>
      <c r="C735" s="6" t="s">
        <v>951</v>
      </c>
      <c r="D735" s="6" t="s">
        <v>34</v>
      </c>
      <c r="E735" s="6" t="s">
        <v>35</v>
      </c>
      <c r="F735" s="6" t="n">
        <v>12.901934</v>
      </c>
      <c r="G735" s="6" t="n">
        <v>77.46891</v>
      </c>
      <c r="H735" s="6" t="n">
        <v>1</v>
      </c>
      <c r="I735" s="6" t="n">
        <v>24</v>
      </c>
      <c r="J735" s="6" t="s">
        <v>36</v>
      </c>
      <c r="K735" s="7" t="b">
        <f aca="false">FALSE()</f>
        <v>0</v>
      </c>
    </row>
    <row r="736" customFormat="false" ht="15" hidden="false" customHeight="false" outlineLevel="0" collapsed="false">
      <c r="A736" s="6" t="n">
        <v>309070</v>
      </c>
      <c r="B736" s="6" t="s">
        <v>1144</v>
      </c>
      <c r="C736" s="6" t="s">
        <v>1145</v>
      </c>
      <c r="D736" s="6" t="s">
        <v>34</v>
      </c>
      <c r="E736" s="6" t="s">
        <v>35</v>
      </c>
      <c r="F736" s="6" t="n">
        <v>12.48172</v>
      </c>
      <c r="G736" s="6" t="n">
        <v>77.03598</v>
      </c>
      <c r="H736" s="6" t="n">
        <v>1</v>
      </c>
      <c r="I736" s="6" t="n">
        <v>30</v>
      </c>
      <c r="J736" s="6" t="s">
        <v>36</v>
      </c>
      <c r="K736" s="7" t="b">
        <f aca="false">FALSE()</f>
        <v>0</v>
      </c>
    </row>
    <row r="737" customFormat="false" ht="15" hidden="false" customHeight="false" outlineLevel="0" collapsed="false">
      <c r="A737" s="6" t="n">
        <v>309069</v>
      </c>
      <c r="B737" s="6" t="s">
        <v>1146</v>
      </c>
      <c r="C737" s="6" t="s">
        <v>368</v>
      </c>
      <c r="D737" s="6" t="s">
        <v>34</v>
      </c>
      <c r="E737" s="6" t="s">
        <v>35</v>
      </c>
      <c r="F737" s="6" t="n">
        <v>12.30446</v>
      </c>
      <c r="G737" s="6" t="n">
        <v>76.70639</v>
      </c>
      <c r="H737" s="6" t="n">
        <v>1</v>
      </c>
      <c r="I737" s="6" t="n">
        <v>30</v>
      </c>
      <c r="J737" s="6" t="s">
        <v>36</v>
      </c>
      <c r="K737" s="7" t="b">
        <f aca="false">FALSE()</f>
        <v>0</v>
      </c>
    </row>
    <row r="738" customFormat="false" ht="15" hidden="false" customHeight="false" outlineLevel="0" collapsed="false">
      <c r="A738" s="6" t="n">
        <v>309068</v>
      </c>
      <c r="B738" s="6" t="s">
        <v>1147</v>
      </c>
      <c r="C738" s="6" t="s">
        <v>368</v>
      </c>
      <c r="D738" s="6" t="s">
        <v>34</v>
      </c>
      <c r="E738" s="6" t="s">
        <v>35</v>
      </c>
      <c r="F738" s="6" t="n">
        <v>12.30706</v>
      </c>
      <c r="G738" s="6" t="n">
        <v>76.70759</v>
      </c>
      <c r="H738" s="6" t="n">
        <v>1</v>
      </c>
      <c r="I738" s="6" t="n">
        <v>90</v>
      </c>
      <c r="J738" s="6" t="s">
        <v>39</v>
      </c>
      <c r="K738" s="7" t="b">
        <f aca="false">TRUE()</f>
        <v>1</v>
      </c>
    </row>
    <row r="739" customFormat="false" ht="15" hidden="false" customHeight="false" outlineLevel="0" collapsed="false">
      <c r="A739" s="6" t="n">
        <v>309067</v>
      </c>
      <c r="B739" s="6" t="s">
        <v>1148</v>
      </c>
      <c r="C739" s="6" t="s">
        <v>368</v>
      </c>
      <c r="D739" s="6" t="s">
        <v>34</v>
      </c>
      <c r="E739" s="6" t="s">
        <v>35</v>
      </c>
      <c r="F739" s="6" t="n">
        <v>12.31223</v>
      </c>
      <c r="G739" s="6" t="n">
        <v>76.64067</v>
      </c>
      <c r="H739" s="6" t="n">
        <v>1</v>
      </c>
      <c r="I739" s="6" t="n">
        <v>7.4</v>
      </c>
      <c r="J739" s="6" t="s">
        <v>126</v>
      </c>
      <c r="K739" s="7" t="b">
        <f aca="false">FALSE()</f>
        <v>0</v>
      </c>
    </row>
    <row r="740" customFormat="false" ht="15" hidden="false" customHeight="false" outlineLevel="0" collapsed="false">
      <c r="A740" s="6" t="n">
        <v>309066</v>
      </c>
      <c r="B740" s="6" t="s">
        <v>1149</v>
      </c>
      <c r="C740" s="6" t="s">
        <v>368</v>
      </c>
      <c r="D740" s="6" t="s">
        <v>34</v>
      </c>
      <c r="E740" s="6" t="s">
        <v>35</v>
      </c>
      <c r="F740" s="6" t="n">
        <v>12.31169</v>
      </c>
      <c r="G740" s="6" t="n">
        <v>76.64328</v>
      </c>
      <c r="H740" s="6" t="n">
        <v>1</v>
      </c>
      <c r="I740" s="6" t="n">
        <v>60</v>
      </c>
      <c r="J740" s="6" t="s">
        <v>39</v>
      </c>
      <c r="K740" s="7" t="b">
        <f aca="false">TRUE()</f>
        <v>1</v>
      </c>
    </row>
    <row r="741" customFormat="false" ht="15" hidden="false" customHeight="false" outlineLevel="0" collapsed="false">
      <c r="A741" s="6" t="n">
        <v>309065</v>
      </c>
      <c r="B741" s="6" t="s">
        <v>1150</v>
      </c>
      <c r="C741" s="6" t="s">
        <v>368</v>
      </c>
      <c r="D741" s="6" t="s">
        <v>34</v>
      </c>
      <c r="E741" s="6" t="s">
        <v>35</v>
      </c>
      <c r="F741" s="6" t="n">
        <v>12.29519</v>
      </c>
      <c r="G741" s="6" t="n">
        <v>76.6415</v>
      </c>
      <c r="H741" s="6" t="n">
        <v>1</v>
      </c>
      <c r="I741" s="6" t="n">
        <v>25</v>
      </c>
      <c r="J741" s="6" t="s">
        <v>36</v>
      </c>
      <c r="K741" s="7" t="b">
        <f aca="false">FALSE()</f>
        <v>0</v>
      </c>
    </row>
    <row r="742" customFormat="false" ht="15" hidden="false" customHeight="false" outlineLevel="0" collapsed="false">
      <c r="A742" s="6" t="n">
        <v>309064</v>
      </c>
      <c r="B742" s="6" t="s">
        <v>1151</v>
      </c>
      <c r="C742" s="6" t="s">
        <v>368</v>
      </c>
      <c r="D742" s="6" t="s">
        <v>34</v>
      </c>
      <c r="E742" s="6" t="s">
        <v>35</v>
      </c>
      <c r="F742" s="6" t="n">
        <v>12.30853</v>
      </c>
      <c r="G742" s="6" t="n">
        <v>76.66071</v>
      </c>
      <c r="H742" s="6" t="n">
        <v>1</v>
      </c>
      <c r="I742" s="6" t="n">
        <v>30</v>
      </c>
      <c r="J742" s="6" t="s">
        <v>36</v>
      </c>
      <c r="K742" s="7" t="b">
        <f aca="false">FALSE()</f>
        <v>0</v>
      </c>
    </row>
    <row r="743" customFormat="false" ht="15" hidden="false" customHeight="false" outlineLevel="0" collapsed="false">
      <c r="A743" s="6" t="n">
        <v>309063</v>
      </c>
      <c r="B743" s="6" t="s">
        <v>1152</v>
      </c>
      <c r="C743" s="6" t="s">
        <v>368</v>
      </c>
      <c r="D743" s="6" t="s">
        <v>34</v>
      </c>
      <c r="E743" s="6" t="s">
        <v>35</v>
      </c>
      <c r="F743" s="6" t="n">
        <v>12.31857</v>
      </c>
      <c r="G743" s="6" t="n">
        <v>76.66539</v>
      </c>
      <c r="H743" s="6" t="n">
        <v>1</v>
      </c>
      <c r="I743" s="6" t="n">
        <v>80</v>
      </c>
      <c r="J743" s="6" t="s">
        <v>39</v>
      </c>
      <c r="K743" s="7" t="b">
        <f aca="false">TRUE()</f>
        <v>1</v>
      </c>
    </row>
    <row r="744" customFormat="false" ht="15" hidden="false" customHeight="false" outlineLevel="0" collapsed="false">
      <c r="A744" s="6" t="n">
        <v>309062</v>
      </c>
      <c r="B744" s="6" t="s">
        <v>1153</v>
      </c>
      <c r="C744" s="6" t="s">
        <v>368</v>
      </c>
      <c r="D744" s="6" t="s">
        <v>34</v>
      </c>
      <c r="E744" s="6" t="s">
        <v>35</v>
      </c>
      <c r="F744" s="6" t="n">
        <v>12.35048</v>
      </c>
      <c r="G744" s="6" t="n">
        <v>76.63894</v>
      </c>
      <c r="H744" s="6" t="n">
        <v>1</v>
      </c>
      <c r="I744" s="6" t="n">
        <v>24</v>
      </c>
      <c r="J744" s="6" t="s">
        <v>36</v>
      </c>
      <c r="K744" s="7" t="b">
        <f aca="false">FALSE()</f>
        <v>0</v>
      </c>
    </row>
    <row r="745" customFormat="false" ht="15" hidden="false" customHeight="false" outlineLevel="0" collapsed="false">
      <c r="A745" s="6" t="n">
        <v>309061</v>
      </c>
      <c r="B745" s="6" t="s">
        <v>1154</v>
      </c>
      <c r="C745" s="6" t="s">
        <v>368</v>
      </c>
      <c r="D745" s="6" t="s">
        <v>34</v>
      </c>
      <c r="E745" s="6" t="s">
        <v>35</v>
      </c>
      <c r="F745" s="6" t="n">
        <v>12.35317</v>
      </c>
      <c r="G745" s="6" t="n">
        <v>76.6357</v>
      </c>
      <c r="H745" s="6" t="n">
        <v>1</v>
      </c>
      <c r="I745" s="6" t="n">
        <v>60</v>
      </c>
      <c r="J745" s="6" t="s">
        <v>39</v>
      </c>
      <c r="K745" s="7" t="b">
        <f aca="false">TRUE()</f>
        <v>1</v>
      </c>
    </row>
    <row r="746" customFormat="false" ht="15" hidden="false" customHeight="false" outlineLevel="0" collapsed="false">
      <c r="A746" s="6" t="n">
        <v>309060</v>
      </c>
      <c r="B746" s="6" t="s">
        <v>1155</v>
      </c>
      <c r="C746" s="6" t="s">
        <v>368</v>
      </c>
      <c r="D746" s="6" t="s">
        <v>34</v>
      </c>
      <c r="E746" s="6" t="s">
        <v>35</v>
      </c>
      <c r="F746" s="6" t="n">
        <v>12.35941</v>
      </c>
      <c r="G746" s="6" t="n">
        <v>76.62151</v>
      </c>
      <c r="H746" s="6" t="n">
        <v>1</v>
      </c>
      <c r="I746" s="6" t="n">
        <v>30</v>
      </c>
      <c r="J746" s="6" t="s">
        <v>36</v>
      </c>
      <c r="K746" s="7" t="b">
        <f aca="false">FALSE()</f>
        <v>0</v>
      </c>
    </row>
    <row r="747" customFormat="false" ht="15" hidden="false" customHeight="false" outlineLevel="0" collapsed="false">
      <c r="A747" s="6" t="n">
        <v>309024</v>
      </c>
      <c r="B747" s="6" t="s">
        <v>1156</v>
      </c>
      <c r="C747" s="6" t="s">
        <v>1157</v>
      </c>
      <c r="D747" s="6" t="s">
        <v>34</v>
      </c>
      <c r="E747" s="6" t="s">
        <v>35</v>
      </c>
      <c r="F747" s="6" t="n">
        <v>12.83561</v>
      </c>
      <c r="G747" s="6" t="n">
        <v>75.39953</v>
      </c>
      <c r="H747" s="6" t="n">
        <v>1</v>
      </c>
      <c r="I747" s="6" t="n">
        <v>30</v>
      </c>
      <c r="J747" s="6" t="s">
        <v>36</v>
      </c>
      <c r="K747" s="7" t="b">
        <f aca="false">FALSE()</f>
        <v>0</v>
      </c>
    </row>
    <row r="748" customFormat="false" ht="15" hidden="false" customHeight="false" outlineLevel="0" collapsed="false">
      <c r="A748" s="6" t="n">
        <v>309023</v>
      </c>
      <c r="B748" s="6" t="s">
        <v>1158</v>
      </c>
      <c r="C748" s="6" t="s">
        <v>750</v>
      </c>
      <c r="D748" s="6" t="s">
        <v>34</v>
      </c>
      <c r="E748" s="6" t="s">
        <v>35</v>
      </c>
      <c r="F748" s="6" t="n">
        <v>12.76013</v>
      </c>
      <c r="G748" s="6" t="n">
        <v>75.20645</v>
      </c>
      <c r="H748" s="6" t="n">
        <v>1</v>
      </c>
      <c r="I748" s="6" t="n">
        <v>30</v>
      </c>
      <c r="J748" s="6" t="s">
        <v>36</v>
      </c>
      <c r="K748" s="7" t="b">
        <f aca="false">FALSE()</f>
        <v>0</v>
      </c>
    </row>
    <row r="749" customFormat="false" ht="15" hidden="false" customHeight="false" outlineLevel="0" collapsed="false">
      <c r="A749" s="6" t="n">
        <v>309022</v>
      </c>
      <c r="B749" s="6" t="s">
        <v>1159</v>
      </c>
      <c r="C749" s="6" t="s">
        <v>1113</v>
      </c>
      <c r="D749" s="6" t="s">
        <v>34</v>
      </c>
      <c r="E749" s="6" t="s">
        <v>35</v>
      </c>
      <c r="F749" s="6" t="n">
        <v>12.86709</v>
      </c>
      <c r="G749" s="6" t="n">
        <v>74.90488</v>
      </c>
      <c r="H749" s="6" t="n">
        <v>1</v>
      </c>
      <c r="I749" s="6" t="n">
        <v>90</v>
      </c>
      <c r="J749" s="6" t="s">
        <v>39</v>
      </c>
      <c r="K749" s="7" t="b">
        <f aca="false">TRUE()</f>
        <v>1</v>
      </c>
    </row>
    <row r="750" customFormat="false" ht="15" hidden="false" customHeight="false" outlineLevel="0" collapsed="false">
      <c r="A750" s="6" t="n">
        <v>309021</v>
      </c>
      <c r="B750" s="6" t="s">
        <v>1160</v>
      </c>
      <c r="C750" s="6" t="s">
        <v>1113</v>
      </c>
      <c r="D750" s="6" t="s">
        <v>34</v>
      </c>
      <c r="E750" s="6" t="s">
        <v>35</v>
      </c>
      <c r="F750" s="6" t="n">
        <v>12.87213</v>
      </c>
      <c r="G750" s="6" t="n">
        <v>74.89078</v>
      </c>
      <c r="H750" s="6" t="n">
        <v>1</v>
      </c>
      <c r="I750" s="6" t="n">
        <v>25</v>
      </c>
      <c r="J750" s="6" t="s">
        <v>36</v>
      </c>
      <c r="K750" s="7" t="b">
        <f aca="false">FALSE()</f>
        <v>0</v>
      </c>
    </row>
    <row r="751" customFormat="false" ht="15" hidden="false" customHeight="false" outlineLevel="0" collapsed="false">
      <c r="A751" s="6" t="n">
        <v>309020</v>
      </c>
      <c r="B751" s="6" t="s">
        <v>1161</v>
      </c>
      <c r="C751" s="6" t="s">
        <v>1113</v>
      </c>
      <c r="D751" s="6" t="s">
        <v>34</v>
      </c>
      <c r="E751" s="6" t="s">
        <v>35</v>
      </c>
      <c r="F751" s="6" t="n">
        <v>12.8591</v>
      </c>
      <c r="G751" s="6" t="n">
        <v>74.85515</v>
      </c>
      <c r="H751" s="6" t="n">
        <v>1</v>
      </c>
      <c r="I751" s="6" t="n">
        <v>30</v>
      </c>
      <c r="J751" s="6" t="s">
        <v>36</v>
      </c>
      <c r="K751" s="7" t="b">
        <f aca="false">FALSE()</f>
        <v>0</v>
      </c>
    </row>
    <row r="752" customFormat="false" ht="15" hidden="false" customHeight="false" outlineLevel="0" collapsed="false">
      <c r="A752" s="6" t="n">
        <v>309019</v>
      </c>
      <c r="B752" s="6" t="s">
        <v>1162</v>
      </c>
      <c r="C752" s="6" t="s">
        <v>1113</v>
      </c>
      <c r="D752" s="6" t="s">
        <v>34</v>
      </c>
      <c r="E752" s="6" t="s">
        <v>35</v>
      </c>
      <c r="F752" s="6" t="n">
        <v>12.85763</v>
      </c>
      <c r="G752" s="6" t="n">
        <v>74.83832</v>
      </c>
      <c r="H752" s="6" t="n">
        <v>1</v>
      </c>
      <c r="I752" s="6" t="n">
        <v>60</v>
      </c>
      <c r="J752" s="6" t="s">
        <v>39</v>
      </c>
      <c r="K752" s="7" t="b">
        <f aca="false">TRUE()</f>
        <v>1</v>
      </c>
    </row>
    <row r="753" customFormat="false" ht="15" hidden="false" customHeight="false" outlineLevel="0" collapsed="false">
      <c r="A753" s="6" t="n">
        <v>309018</v>
      </c>
      <c r="B753" s="6" t="s">
        <v>1163</v>
      </c>
      <c r="C753" s="6" t="s">
        <v>1113</v>
      </c>
      <c r="D753" s="6" t="s">
        <v>34</v>
      </c>
      <c r="E753" s="6" t="s">
        <v>35</v>
      </c>
      <c r="F753" s="6" t="n">
        <v>12.86212</v>
      </c>
      <c r="G753" s="6" t="n">
        <v>74.83519</v>
      </c>
      <c r="H753" s="6" t="n">
        <v>1</v>
      </c>
      <c r="I753" s="6" t="n">
        <v>30</v>
      </c>
      <c r="J753" s="6" t="s">
        <v>36</v>
      </c>
      <c r="K753" s="7" t="b">
        <f aca="false">FALSE()</f>
        <v>0</v>
      </c>
    </row>
    <row r="754" customFormat="false" ht="15" hidden="false" customHeight="false" outlineLevel="0" collapsed="false">
      <c r="A754" s="6" t="n">
        <v>309017</v>
      </c>
      <c r="B754" s="6" t="s">
        <v>1164</v>
      </c>
      <c r="C754" s="6" t="s">
        <v>1113</v>
      </c>
      <c r="D754" s="6" t="s">
        <v>34</v>
      </c>
      <c r="E754" s="6" t="s">
        <v>35</v>
      </c>
      <c r="F754" s="6" t="n">
        <v>12.88567</v>
      </c>
      <c r="G754" s="6" t="n">
        <v>74.84352</v>
      </c>
      <c r="H754" s="6" t="n">
        <v>1</v>
      </c>
      <c r="I754" s="6" t="n">
        <v>25</v>
      </c>
      <c r="J754" s="6" t="s">
        <v>36</v>
      </c>
      <c r="K754" s="7" t="b">
        <f aca="false">FALSE()</f>
        <v>0</v>
      </c>
    </row>
    <row r="755" customFormat="false" ht="15" hidden="false" customHeight="false" outlineLevel="0" collapsed="false">
      <c r="A755" s="6" t="n">
        <v>309016</v>
      </c>
      <c r="B755" s="6" t="s">
        <v>1165</v>
      </c>
      <c r="C755" s="6" t="s">
        <v>1113</v>
      </c>
      <c r="D755" s="6" t="s">
        <v>34</v>
      </c>
      <c r="E755" s="6" t="s">
        <v>35</v>
      </c>
      <c r="F755" s="6" t="n">
        <v>12.88666</v>
      </c>
      <c r="G755" s="6" t="n">
        <v>74.84176</v>
      </c>
      <c r="H755" s="6" t="n">
        <v>1</v>
      </c>
      <c r="I755" s="6" t="n">
        <v>25</v>
      </c>
      <c r="J755" s="6" t="s">
        <v>36</v>
      </c>
      <c r="K755" s="7" t="b">
        <f aca="false">FALSE()</f>
        <v>0</v>
      </c>
    </row>
    <row r="756" customFormat="false" ht="15" hidden="false" customHeight="false" outlineLevel="0" collapsed="false">
      <c r="A756" s="6" t="n">
        <v>309015</v>
      </c>
      <c r="B756" s="6" t="s">
        <v>1166</v>
      </c>
      <c r="C756" s="6" t="s">
        <v>1113</v>
      </c>
      <c r="D756" s="6" t="s">
        <v>34</v>
      </c>
      <c r="E756" s="6" t="s">
        <v>35</v>
      </c>
      <c r="F756" s="6" t="n">
        <v>12.88807</v>
      </c>
      <c r="G756" s="6" t="n">
        <v>74.835484</v>
      </c>
      <c r="H756" s="6" t="n">
        <v>1</v>
      </c>
      <c r="I756" s="6" t="n">
        <v>30</v>
      </c>
      <c r="J756" s="6" t="s">
        <v>36</v>
      </c>
      <c r="K756" s="7" t="b">
        <f aca="false">FALSE()</f>
        <v>0</v>
      </c>
    </row>
    <row r="757" customFormat="false" ht="15" hidden="false" customHeight="false" outlineLevel="0" collapsed="false">
      <c r="A757" s="6" t="n">
        <v>309014</v>
      </c>
      <c r="B757" s="6" t="s">
        <v>1167</v>
      </c>
      <c r="C757" s="6" t="s">
        <v>1113</v>
      </c>
      <c r="D757" s="6" t="s">
        <v>34</v>
      </c>
      <c r="E757" s="6" t="s">
        <v>35</v>
      </c>
      <c r="F757" s="6" t="n">
        <v>12.92394</v>
      </c>
      <c r="G757" s="6" t="n">
        <v>74.83135</v>
      </c>
      <c r="H757" s="6" t="n">
        <v>1</v>
      </c>
      <c r="I757" s="6" t="n">
        <v>60</v>
      </c>
      <c r="J757" s="6" t="s">
        <v>39</v>
      </c>
      <c r="K757" s="7" t="b">
        <f aca="false">TRUE()</f>
        <v>1</v>
      </c>
    </row>
    <row r="758" customFormat="false" ht="15" hidden="false" customHeight="false" outlineLevel="0" collapsed="false">
      <c r="A758" s="6" t="n">
        <v>309013</v>
      </c>
      <c r="B758" s="6" t="s">
        <v>1168</v>
      </c>
      <c r="C758" s="6" t="s">
        <v>1113</v>
      </c>
      <c r="D758" s="6" t="s">
        <v>34</v>
      </c>
      <c r="E758" s="6" t="s">
        <v>35</v>
      </c>
      <c r="F758" s="6" t="n">
        <v>12.908462</v>
      </c>
      <c r="G758" s="6" t="n">
        <v>74.835803</v>
      </c>
      <c r="H758" s="6" t="n">
        <v>1</v>
      </c>
      <c r="I758" s="6" t="n">
        <v>30</v>
      </c>
      <c r="J758" s="6" t="s">
        <v>36</v>
      </c>
      <c r="K758" s="7" t="b">
        <f aca="false">FALSE()</f>
        <v>0</v>
      </c>
    </row>
    <row r="759" customFormat="false" ht="15" hidden="false" customHeight="false" outlineLevel="0" collapsed="false">
      <c r="A759" s="6" t="n">
        <v>308999</v>
      </c>
      <c r="B759" s="6" t="s">
        <v>1169</v>
      </c>
      <c r="C759" s="6" t="s">
        <v>1113</v>
      </c>
      <c r="D759" s="6" t="s">
        <v>34</v>
      </c>
      <c r="E759" s="6" t="s">
        <v>35</v>
      </c>
      <c r="F759" s="6" t="n">
        <v>12.923882</v>
      </c>
      <c r="G759" s="6" t="n">
        <v>74.829655</v>
      </c>
      <c r="H759" s="6" t="n">
        <v>1</v>
      </c>
      <c r="I759" s="6" t="n">
        <v>30</v>
      </c>
      <c r="J759" s="6" t="s">
        <v>36</v>
      </c>
      <c r="K759" s="7" t="b">
        <f aca="false">FALSE()</f>
        <v>0</v>
      </c>
    </row>
    <row r="760" customFormat="false" ht="15" hidden="false" customHeight="false" outlineLevel="0" collapsed="false">
      <c r="A760" s="6" t="n">
        <v>308998</v>
      </c>
      <c r="B760" s="6" t="s">
        <v>1170</v>
      </c>
      <c r="C760" s="6" t="s">
        <v>1113</v>
      </c>
      <c r="D760" s="6" t="s">
        <v>34</v>
      </c>
      <c r="E760" s="6" t="s">
        <v>35</v>
      </c>
      <c r="F760" s="6" t="n">
        <v>12.94023</v>
      </c>
      <c r="G760" s="6" t="n">
        <v>74.81604</v>
      </c>
      <c r="H760" s="6" t="n">
        <v>1</v>
      </c>
      <c r="I760" s="6" t="n">
        <v>30</v>
      </c>
      <c r="J760" s="6" t="s">
        <v>36</v>
      </c>
      <c r="K760" s="7" t="b">
        <f aca="false">FALSE()</f>
        <v>0</v>
      </c>
    </row>
    <row r="761" customFormat="false" ht="15" hidden="false" customHeight="false" outlineLevel="0" collapsed="false">
      <c r="A761" s="6" t="n">
        <v>308997</v>
      </c>
      <c r="B761" s="6" t="s">
        <v>1171</v>
      </c>
      <c r="C761" s="6" t="s">
        <v>1172</v>
      </c>
      <c r="D761" s="6" t="s">
        <v>34</v>
      </c>
      <c r="E761" s="6" t="s">
        <v>35</v>
      </c>
      <c r="F761" s="6" t="n">
        <v>12.94928</v>
      </c>
      <c r="G761" s="6" t="n">
        <v>74.81044</v>
      </c>
      <c r="H761" s="6" t="n">
        <v>1</v>
      </c>
      <c r="I761" s="6" t="n">
        <v>30</v>
      </c>
      <c r="J761" s="6" t="s">
        <v>36</v>
      </c>
      <c r="K761" s="7" t="b">
        <f aca="false">FALSE()</f>
        <v>0</v>
      </c>
    </row>
    <row r="762" customFormat="false" ht="15" hidden="false" customHeight="false" outlineLevel="0" collapsed="false">
      <c r="A762" s="6" t="n">
        <v>308996</v>
      </c>
      <c r="B762" s="6" t="s">
        <v>1173</v>
      </c>
      <c r="C762" s="6" t="s">
        <v>1174</v>
      </c>
      <c r="D762" s="6" t="s">
        <v>34</v>
      </c>
      <c r="E762" s="6" t="s">
        <v>35</v>
      </c>
      <c r="F762" s="6" t="n">
        <v>15.28683</v>
      </c>
      <c r="G762" s="6" t="n">
        <v>76.38577</v>
      </c>
      <c r="H762" s="6" t="n">
        <v>1</v>
      </c>
      <c r="I762" s="6" t="n">
        <v>60</v>
      </c>
      <c r="J762" s="6" t="s">
        <v>39</v>
      </c>
      <c r="K762" s="7" t="b">
        <f aca="false">TRUE()</f>
        <v>1</v>
      </c>
    </row>
    <row r="763" customFormat="false" ht="15" hidden="false" customHeight="false" outlineLevel="0" collapsed="false">
      <c r="A763" s="6" t="n">
        <v>308995</v>
      </c>
      <c r="B763" s="6" t="s">
        <v>1175</v>
      </c>
      <c r="C763" s="6" t="s">
        <v>1176</v>
      </c>
      <c r="D763" s="6" t="s">
        <v>34</v>
      </c>
      <c r="E763" s="6" t="s">
        <v>35</v>
      </c>
      <c r="F763" s="6" t="n">
        <v>15.9663</v>
      </c>
      <c r="G763" s="6" t="n">
        <v>75.01014</v>
      </c>
      <c r="H763" s="6" t="n">
        <v>1</v>
      </c>
      <c r="I763" s="6" t="n">
        <v>60</v>
      </c>
      <c r="J763" s="6" t="s">
        <v>39</v>
      </c>
      <c r="K763" s="7" t="b">
        <f aca="false">TRUE()</f>
        <v>1</v>
      </c>
    </row>
    <row r="764" customFormat="false" ht="15" hidden="false" customHeight="false" outlineLevel="0" collapsed="false">
      <c r="A764" s="6" t="n">
        <v>308994</v>
      </c>
      <c r="B764" s="6" t="s">
        <v>1177</v>
      </c>
      <c r="C764" s="6" t="s">
        <v>1178</v>
      </c>
      <c r="D764" s="6" t="s">
        <v>34</v>
      </c>
      <c r="E764" s="6" t="s">
        <v>35</v>
      </c>
      <c r="F764" s="6" t="n">
        <v>16.19321</v>
      </c>
      <c r="G764" s="6" t="n">
        <v>74.518</v>
      </c>
      <c r="H764" s="6" t="n">
        <v>1</v>
      </c>
      <c r="I764" s="6" t="n">
        <v>60</v>
      </c>
      <c r="J764" s="6" t="s">
        <v>39</v>
      </c>
      <c r="K764" s="7" t="b">
        <f aca="false">TRUE()</f>
        <v>1</v>
      </c>
    </row>
    <row r="765" customFormat="false" ht="15" hidden="false" customHeight="false" outlineLevel="0" collapsed="false">
      <c r="A765" s="6" t="n">
        <v>308993</v>
      </c>
      <c r="B765" s="6" t="s">
        <v>1179</v>
      </c>
      <c r="C765" s="6" t="s">
        <v>1180</v>
      </c>
      <c r="D765" s="6" t="s">
        <v>72</v>
      </c>
      <c r="E765" s="6" t="s">
        <v>35</v>
      </c>
      <c r="F765" s="6" t="n">
        <v>16.14641</v>
      </c>
      <c r="G765" s="6" t="n">
        <v>74.21505</v>
      </c>
      <c r="H765" s="6" t="n">
        <v>1</v>
      </c>
      <c r="I765" s="6" t="n">
        <v>60</v>
      </c>
      <c r="J765" s="6" t="s">
        <v>39</v>
      </c>
      <c r="K765" s="7" t="b">
        <f aca="false">TRUE()</f>
        <v>1</v>
      </c>
    </row>
    <row r="766" customFormat="false" ht="15" hidden="false" customHeight="false" outlineLevel="0" collapsed="false">
      <c r="A766" s="6" t="n">
        <v>308992</v>
      </c>
      <c r="B766" s="6" t="s">
        <v>1181</v>
      </c>
      <c r="C766" s="6" t="s">
        <v>1005</v>
      </c>
      <c r="D766" s="6" t="s">
        <v>34</v>
      </c>
      <c r="E766" s="6" t="s">
        <v>35</v>
      </c>
      <c r="F766" s="6" t="n">
        <v>15.928451</v>
      </c>
      <c r="G766" s="6" t="n">
        <v>74.529038</v>
      </c>
      <c r="H766" s="6" t="n">
        <v>1</v>
      </c>
      <c r="I766" s="6" t="n">
        <v>60</v>
      </c>
      <c r="J766" s="6" t="s">
        <v>39</v>
      </c>
      <c r="K766" s="7" t="b">
        <f aca="false">TRUE()</f>
        <v>1</v>
      </c>
    </row>
    <row r="767" customFormat="false" ht="15" hidden="false" customHeight="false" outlineLevel="0" collapsed="false">
      <c r="A767" s="6" t="n">
        <v>308991</v>
      </c>
      <c r="B767" s="6" t="s">
        <v>1182</v>
      </c>
      <c r="C767" s="6" t="s">
        <v>1005</v>
      </c>
      <c r="D767" s="6" t="s">
        <v>34</v>
      </c>
      <c r="E767" s="6" t="s">
        <v>35</v>
      </c>
      <c r="F767" s="6" t="n">
        <v>15.901615</v>
      </c>
      <c r="G767" s="6" t="n">
        <v>74.521434</v>
      </c>
      <c r="H767" s="6" t="n">
        <v>1</v>
      </c>
      <c r="I767" s="6" t="n">
        <v>60</v>
      </c>
      <c r="J767" s="6" t="s">
        <v>39</v>
      </c>
      <c r="K767" s="7" t="b">
        <f aca="false">TRUE()</f>
        <v>1</v>
      </c>
    </row>
    <row r="768" customFormat="false" ht="15" hidden="false" customHeight="false" outlineLevel="0" collapsed="false">
      <c r="A768" s="6" t="n">
        <v>308990</v>
      </c>
      <c r="B768" s="6" t="s">
        <v>1183</v>
      </c>
      <c r="C768" s="6" t="s">
        <v>1005</v>
      </c>
      <c r="D768" s="6" t="s">
        <v>34</v>
      </c>
      <c r="E768" s="6" t="s">
        <v>35</v>
      </c>
      <c r="F768" s="6" t="n">
        <v>15.878287</v>
      </c>
      <c r="G768" s="6" t="n">
        <v>74.515797</v>
      </c>
      <c r="H768" s="6" t="n">
        <v>1</v>
      </c>
      <c r="I768" s="6" t="n">
        <v>30</v>
      </c>
      <c r="J768" s="6" t="s">
        <v>36</v>
      </c>
      <c r="K768" s="7" t="b">
        <f aca="false">FALSE()</f>
        <v>0</v>
      </c>
    </row>
    <row r="769" customFormat="false" ht="15" hidden="false" customHeight="false" outlineLevel="0" collapsed="false">
      <c r="A769" s="6" t="n">
        <v>308989</v>
      </c>
      <c r="B769" s="6" t="s">
        <v>1184</v>
      </c>
      <c r="C769" s="6" t="s">
        <v>1005</v>
      </c>
      <c r="D769" s="6" t="s">
        <v>34</v>
      </c>
      <c r="E769" s="6" t="s">
        <v>35</v>
      </c>
      <c r="F769" s="6" t="n">
        <v>15.87496</v>
      </c>
      <c r="G769" s="6" t="n">
        <v>74.51343</v>
      </c>
      <c r="H769" s="6" t="n">
        <v>1</v>
      </c>
      <c r="I769" s="6" t="n">
        <v>24</v>
      </c>
      <c r="J769" s="6" t="s">
        <v>36</v>
      </c>
      <c r="K769" s="7" t="b">
        <f aca="false">FALSE()</f>
        <v>0</v>
      </c>
    </row>
    <row r="770" customFormat="false" ht="15" hidden="false" customHeight="false" outlineLevel="0" collapsed="false">
      <c r="A770" s="6" t="n">
        <v>308988</v>
      </c>
      <c r="B770" s="6" t="s">
        <v>1185</v>
      </c>
      <c r="C770" s="6" t="s">
        <v>1005</v>
      </c>
      <c r="D770" s="6" t="s">
        <v>34</v>
      </c>
      <c r="E770" s="6" t="s">
        <v>35</v>
      </c>
      <c r="F770" s="6" t="n">
        <v>15.867345</v>
      </c>
      <c r="G770" s="6" t="n">
        <v>74.528684</v>
      </c>
      <c r="H770" s="6" t="n">
        <v>1</v>
      </c>
      <c r="I770" s="6" t="n">
        <v>30</v>
      </c>
      <c r="J770" s="6" t="s">
        <v>36</v>
      </c>
      <c r="K770" s="7" t="b">
        <f aca="false">FALSE()</f>
        <v>0</v>
      </c>
    </row>
    <row r="771" customFormat="false" ht="15" hidden="false" customHeight="false" outlineLevel="0" collapsed="false">
      <c r="A771" s="6" t="n">
        <v>308987</v>
      </c>
      <c r="B771" s="6" t="s">
        <v>1186</v>
      </c>
      <c r="C771" s="6" t="s">
        <v>1005</v>
      </c>
      <c r="D771" s="6" t="s">
        <v>34</v>
      </c>
      <c r="E771" s="6" t="s">
        <v>35</v>
      </c>
      <c r="F771" s="6" t="n">
        <v>15.8188</v>
      </c>
      <c r="G771" s="6" t="n">
        <v>74.49224</v>
      </c>
      <c r="H771" s="6" t="n">
        <v>1</v>
      </c>
      <c r="I771" s="6" t="n">
        <v>25</v>
      </c>
      <c r="J771" s="6" t="s">
        <v>36</v>
      </c>
      <c r="K771" s="7" t="b">
        <f aca="false">FALSE()</f>
        <v>0</v>
      </c>
    </row>
    <row r="772" customFormat="false" ht="15" hidden="false" customHeight="false" outlineLevel="0" collapsed="false">
      <c r="A772" s="6" t="n">
        <v>308986</v>
      </c>
      <c r="B772" s="6" t="s">
        <v>1187</v>
      </c>
      <c r="C772" s="6" t="s">
        <v>1005</v>
      </c>
      <c r="D772" s="6" t="s">
        <v>34</v>
      </c>
      <c r="E772" s="6" t="s">
        <v>35</v>
      </c>
      <c r="F772" s="6" t="n">
        <v>15.80545</v>
      </c>
      <c r="G772" s="6" t="n">
        <v>74.48541</v>
      </c>
      <c r="H772" s="6" t="n">
        <v>1</v>
      </c>
      <c r="I772" s="6" t="n">
        <v>90</v>
      </c>
      <c r="J772" s="6" t="s">
        <v>39</v>
      </c>
      <c r="K772" s="7" t="b">
        <f aca="false">TRUE()</f>
        <v>1</v>
      </c>
    </row>
    <row r="773" customFormat="false" ht="15" hidden="false" customHeight="false" outlineLevel="0" collapsed="false">
      <c r="A773" s="6" t="n">
        <v>308985</v>
      </c>
      <c r="B773" s="6" t="s">
        <v>1188</v>
      </c>
      <c r="C773" s="6" t="s">
        <v>1005</v>
      </c>
      <c r="D773" s="6" t="s">
        <v>34</v>
      </c>
      <c r="E773" s="6" t="s">
        <v>35</v>
      </c>
      <c r="F773" s="6" t="n">
        <v>15.83662</v>
      </c>
      <c r="G773" s="6" t="n">
        <v>74.49365</v>
      </c>
      <c r="H773" s="6" t="n">
        <v>1</v>
      </c>
      <c r="I773" s="6" t="n">
        <v>30</v>
      </c>
      <c r="J773" s="6" t="s">
        <v>36</v>
      </c>
      <c r="K773" s="7" t="b">
        <f aca="false">FALSE()</f>
        <v>0</v>
      </c>
    </row>
    <row r="774" customFormat="false" ht="15" hidden="false" customHeight="false" outlineLevel="0" collapsed="false">
      <c r="A774" s="6" t="n">
        <v>308984</v>
      </c>
      <c r="B774" s="6" t="s">
        <v>1189</v>
      </c>
      <c r="C774" s="6" t="s">
        <v>1005</v>
      </c>
      <c r="D774" s="6" t="s">
        <v>34</v>
      </c>
      <c r="E774" s="6" t="s">
        <v>35</v>
      </c>
      <c r="F774" s="6" t="n">
        <v>15.80585</v>
      </c>
      <c r="G774" s="6" t="n">
        <v>74.57531</v>
      </c>
      <c r="H774" s="6" t="n">
        <v>1</v>
      </c>
      <c r="I774" s="6" t="n">
        <v>30</v>
      </c>
      <c r="J774" s="6" t="s">
        <v>36</v>
      </c>
      <c r="K774" s="7" t="b">
        <f aca="false">FALSE()</f>
        <v>0</v>
      </c>
    </row>
    <row r="775" customFormat="false" ht="15" hidden="false" customHeight="false" outlineLevel="0" collapsed="false">
      <c r="A775" s="6" t="n">
        <v>308983</v>
      </c>
      <c r="B775" s="6" t="s">
        <v>1190</v>
      </c>
      <c r="C775" s="6" t="s">
        <v>1191</v>
      </c>
      <c r="D775" s="6" t="s">
        <v>34</v>
      </c>
      <c r="E775" s="6" t="s">
        <v>35</v>
      </c>
      <c r="F775" s="6" t="n">
        <v>15.58799</v>
      </c>
      <c r="G775" s="6" t="n">
        <v>74.78388</v>
      </c>
      <c r="H775" s="6" t="n">
        <v>1</v>
      </c>
      <c r="I775" s="6" t="n">
        <v>30</v>
      </c>
      <c r="J775" s="6" t="s">
        <v>36</v>
      </c>
      <c r="K775" s="7" t="b">
        <f aca="false">FALSE()</f>
        <v>0</v>
      </c>
    </row>
    <row r="776" customFormat="false" ht="15" hidden="false" customHeight="false" outlineLevel="0" collapsed="false">
      <c r="A776" s="6" t="n">
        <v>308982</v>
      </c>
      <c r="B776" s="6" t="s">
        <v>1192</v>
      </c>
      <c r="C776" s="6" t="s">
        <v>1193</v>
      </c>
      <c r="D776" s="6" t="s">
        <v>34</v>
      </c>
      <c r="E776" s="6" t="s">
        <v>35</v>
      </c>
      <c r="F776" s="6" t="n">
        <v>14.55971</v>
      </c>
      <c r="G776" s="6" t="n">
        <v>75.72506</v>
      </c>
      <c r="H776" s="6" t="n">
        <v>1</v>
      </c>
      <c r="I776" s="6" t="n">
        <v>120</v>
      </c>
      <c r="J776" s="6" t="s">
        <v>39</v>
      </c>
      <c r="K776" s="7" t="b">
        <f aca="false">TRUE()</f>
        <v>1</v>
      </c>
    </row>
    <row r="777" customFormat="false" ht="15" hidden="false" customHeight="false" outlineLevel="0" collapsed="false">
      <c r="A777" s="6" t="n">
        <v>308981</v>
      </c>
      <c r="B777" s="6" t="s">
        <v>1194</v>
      </c>
      <c r="C777" s="6" t="s">
        <v>1195</v>
      </c>
      <c r="D777" s="6" t="s">
        <v>34</v>
      </c>
      <c r="E777" s="6" t="s">
        <v>35</v>
      </c>
      <c r="F777" s="6" t="n">
        <v>14.44452</v>
      </c>
      <c r="G777" s="6" t="n">
        <v>75.89139</v>
      </c>
      <c r="H777" s="6" t="n">
        <v>1</v>
      </c>
      <c r="I777" s="6" t="n">
        <v>60</v>
      </c>
      <c r="J777" s="6" t="s">
        <v>39</v>
      </c>
      <c r="K777" s="7" t="b">
        <f aca="false">TRUE()</f>
        <v>1</v>
      </c>
    </row>
    <row r="778" customFormat="false" ht="15" hidden="false" customHeight="false" outlineLevel="0" collapsed="false">
      <c r="A778" s="6" t="n">
        <v>308980</v>
      </c>
      <c r="B778" s="6" t="s">
        <v>1196</v>
      </c>
      <c r="C778" s="6" t="s">
        <v>1195</v>
      </c>
      <c r="D778" s="6" t="s">
        <v>34</v>
      </c>
      <c r="E778" s="6" t="s">
        <v>35</v>
      </c>
      <c r="F778" s="6" t="n">
        <v>14.44549</v>
      </c>
      <c r="G778" s="6" t="n">
        <v>75.8911</v>
      </c>
      <c r="H778" s="6" t="n">
        <v>2</v>
      </c>
      <c r="I778" s="6" t="n">
        <v>60</v>
      </c>
      <c r="J778" s="6" t="s">
        <v>39</v>
      </c>
      <c r="K778" s="7" t="b">
        <f aca="false">TRUE()</f>
        <v>1</v>
      </c>
    </row>
    <row r="779" customFormat="false" ht="15" hidden="false" customHeight="false" outlineLevel="0" collapsed="false">
      <c r="A779" s="6" t="n">
        <v>308979</v>
      </c>
      <c r="B779" s="6" t="s">
        <v>1197</v>
      </c>
      <c r="C779" s="6" t="s">
        <v>1195</v>
      </c>
      <c r="D779" s="6" t="s">
        <v>34</v>
      </c>
      <c r="E779" s="6" t="s">
        <v>35</v>
      </c>
      <c r="F779" s="6" t="n">
        <v>14.47385</v>
      </c>
      <c r="G779" s="6" t="n">
        <v>75.88627</v>
      </c>
      <c r="H779" s="6" t="n">
        <v>1</v>
      </c>
      <c r="I779" s="6" t="n">
        <v>60</v>
      </c>
      <c r="J779" s="6" t="s">
        <v>39</v>
      </c>
      <c r="K779" s="7" t="b">
        <f aca="false">TRUE()</f>
        <v>1</v>
      </c>
    </row>
    <row r="780" customFormat="false" ht="15" hidden="false" customHeight="false" outlineLevel="0" collapsed="false">
      <c r="A780" s="6" t="n">
        <v>308978</v>
      </c>
      <c r="B780" s="6" t="s">
        <v>1198</v>
      </c>
      <c r="C780" s="6" t="s">
        <v>1199</v>
      </c>
      <c r="D780" s="6" t="s">
        <v>34</v>
      </c>
      <c r="E780" s="6" t="s">
        <v>35</v>
      </c>
      <c r="F780" s="6" t="n">
        <v>14.624314</v>
      </c>
      <c r="G780" s="6" t="n">
        <v>74.841555</v>
      </c>
      <c r="H780" s="6" t="n">
        <v>1</v>
      </c>
      <c r="I780" s="6" t="n">
        <v>30</v>
      </c>
      <c r="J780" s="6" t="s">
        <v>36</v>
      </c>
      <c r="K780" s="7" t="b">
        <f aca="false">FALSE()</f>
        <v>0</v>
      </c>
    </row>
    <row r="781" customFormat="false" ht="15" hidden="false" customHeight="false" outlineLevel="0" collapsed="false">
      <c r="A781" s="6" t="n">
        <v>308977</v>
      </c>
      <c r="B781" s="6" t="s">
        <v>1200</v>
      </c>
      <c r="C781" s="6" t="s">
        <v>1201</v>
      </c>
      <c r="D781" s="6" t="s">
        <v>34</v>
      </c>
      <c r="E781" s="6" t="s">
        <v>35</v>
      </c>
      <c r="F781" s="6" t="n">
        <v>14.53811</v>
      </c>
      <c r="G781" s="6" t="n">
        <v>75.75962</v>
      </c>
      <c r="H781" s="6" t="n">
        <v>1</v>
      </c>
      <c r="I781" s="6" t="n">
        <v>60</v>
      </c>
      <c r="J781" s="6" t="s">
        <v>39</v>
      </c>
      <c r="K781" s="7" t="b">
        <f aca="false">TRUE()</f>
        <v>1</v>
      </c>
    </row>
    <row r="782" customFormat="false" ht="15" hidden="false" customHeight="false" outlineLevel="0" collapsed="false">
      <c r="A782" s="6" t="n">
        <v>308976</v>
      </c>
      <c r="B782" s="6" t="s">
        <v>1202</v>
      </c>
      <c r="C782" s="6" t="s">
        <v>1195</v>
      </c>
      <c r="D782" s="6" t="s">
        <v>34</v>
      </c>
      <c r="E782" s="6" t="s">
        <v>35</v>
      </c>
      <c r="F782" s="6" t="n">
        <v>14.44223</v>
      </c>
      <c r="G782" s="6" t="n">
        <v>75.95212</v>
      </c>
      <c r="H782" s="6" t="n">
        <v>1</v>
      </c>
      <c r="I782" s="6" t="n">
        <v>25</v>
      </c>
      <c r="J782" s="6" t="s">
        <v>36</v>
      </c>
      <c r="K782" s="7" t="b">
        <f aca="false">FALSE()</f>
        <v>0</v>
      </c>
    </row>
    <row r="783" customFormat="false" ht="15" hidden="false" customHeight="false" outlineLevel="0" collapsed="false">
      <c r="A783" s="6" t="n">
        <v>308975</v>
      </c>
      <c r="B783" s="6" t="s">
        <v>1203</v>
      </c>
      <c r="C783" s="6" t="s">
        <v>1204</v>
      </c>
      <c r="D783" s="6" t="s">
        <v>34</v>
      </c>
      <c r="E783" s="6" t="s">
        <v>35</v>
      </c>
      <c r="F783" s="6" t="n">
        <v>14.62398</v>
      </c>
      <c r="G783" s="6" t="n">
        <v>76.46012</v>
      </c>
      <c r="H783" s="6" t="n">
        <v>1</v>
      </c>
      <c r="I783" s="6" t="n">
        <v>60</v>
      </c>
      <c r="J783" s="6" t="s">
        <v>39</v>
      </c>
      <c r="K783" s="7" t="b">
        <f aca="false">TRUE()</f>
        <v>1</v>
      </c>
    </row>
    <row r="784" customFormat="false" ht="15" hidden="false" customHeight="false" outlineLevel="0" collapsed="false">
      <c r="A784" s="6" t="n">
        <v>308974</v>
      </c>
      <c r="B784" s="6" t="s">
        <v>1205</v>
      </c>
      <c r="C784" s="6" t="s">
        <v>1206</v>
      </c>
      <c r="D784" s="6" t="s">
        <v>34</v>
      </c>
      <c r="E784" s="6" t="s">
        <v>35</v>
      </c>
      <c r="F784" s="6" t="n">
        <v>14.08641</v>
      </c>
      <c r="G784" s="6" t="n">
        <v>76.54001</v>
      </c>
      <c r="H784" s="6" t="n">
        <v>1</v>
      </c>
      <c r="I784" s="6" t="n">
        <v>60</v>
      </c>
      <c r="J784" s="6" t="s">
        <v>39</v>
      </c>
      <c r="K784" s="7" t="b">
        <f aca="false">TRUE()</f>
        <v>1</v>
      </c>
    </row>
    <row r="785" customFormat="false" ht="15" hidden="false" customHeight="false" outlineLevel="0" collapsed="false">
      <c r="A785" s="6" t="n">
        <v>308973</v>
      </c>
      <c r="B785" s="6" t="s">
        <v>1207</v>
      </c>
      <c r="C785" s="6" t="s">
        <v>1208</v>
      </c>
      <c r="D785" s="6" t="s">
        <v>34</v>
      </c>
      <c r="E785" s="6" t="s">
        <v>35</v>
      </c>
      <c r="F785" s="6" t="n">
        <v>14.0521</v>
      </c>
      <c r="G785" s="6" t="n">
        <v>76.56153</v>
      </c>
      <c r="H785" s="6" t="n">
        <v>1</v>
      </c>
      <c r="I785" s="6" t="n">
        <v>60</v>
      </c>
      <c r="J785" s="6" t="s">
        <v>39</v>
      </c>
      <c r="K785" s="7" t="b">
        <f aca="false">TRUE()</f>
        <v>1</v>
      </c>
    </row>
    <row r="786" customFormat="false" ht="15" hidden="false" customHeight="false" outlineLevel="0" collapsed="false">
      <c r="A786" s="6" t="n">
        <v>308972</v>
      </c>
      <c r="B786" s="6" t="s">
        <v>1209</v>
      </c>
      <c r="C786" s="6" t="s">
        <v>1210</v>
      </c>
      <c r="D786" s="6" t="s">
        <v>34</v>
      </c>
      <c r="E786" s="6" t="s">
        <v>35</v>
      </c>
      <c r="F786" s="6" t="n">
        <v>13.92317</v>
      </c>
      <c r="G786" s="6" t="n">
        <v>76.64257</v>
      </c>
      <c r="H786" s="6" t="n">
        <v>1</v>
      </c>
      <c r="I786" s="6" t="n">
        <v>25</v>
      </c>
      <c r="J786" s="6" t="s">
        <v>36</v>
      </c>
      <c r="K786" s="7" t="b">
        <f aca="false">FALSE()</f>
        <v>0</v>
      </c>
    </row>
    <row r="787" customFormat="false" ht="15" hidden="false" customHeight="false" outlineLevel="0" collapsed="false">
      <c r="A787" s="6" t="n">
        <v>308971</v>
      </c>
      <c r="B787" s="6" t="s">
        <v>1211</v>
      </c>
      <c r="C787" s="6" t="s">
        <v>1212</v>
      </c>
      <c r="D787" s="6" t="s">
        <v>34</v>
      </c>
      <c r="E787" s="6" t="s">
        <v>35</v>
      </c>
      <c r="F787" s="6" t="n">
        <v>13.8506</v>
      </c>
      <c r="G787" s="6" t="n">
        <v>76.73702</v>
      </c>
      <c r="H787" s="6" t="n">
        <v>1</v>
      </c>
      <c r="I787" s="6" t="n">
        <v>60</v>
      </c>
      <c r="J787" s="6" t="s">
        <v>39</v>
      </c>
      <c r="K787" s="7" t="b">
        <f aca="false">TRUE()</f>
        <v>1</v>
      </c>
    </row>
    <row r="788" customFormat="false" ht="15" hidden="false" customHeight="false" outlineLevel="0" collapsed="false">
      <c r="A788" s="6" t="n">
        <v>308970</v>
      </c>
      <c r="B788" s="6" t="s">
        <v>1211</v>
      </c>
      <c r="C788" s="6" t="s">
        <v>1212</v>
      </c>
      <c r="D788" s="6" t="s">
        <v>34</v>
      </c>
      <c r="E788" s="6" t="s">
        <v>35</v>
      </c>
      <c r="F788" s="6" t="n">
        <v>13.84672</v>
      </c>
      <c r="G788" s="6" t="n">
        <v>76.73602</v>
      </c>
      <c r="H788" s="6" t="n">
        <v>1</v>
      </c>
      <c r="I788" s="6" t="n">
        <v>30</v>
      </c>
      <c r="J788" s="6" t="s">
        <v>36</v>
      </c>
      <c r="K788" s="7" t="b">
        <f aca="false">FALSE()</f>
        <v>0</v>
      </c>
    </row>
    <row r="789" customFormat="false" ht="15" hidden="false" customHeight="false" outlineLevel="0" collapsed="false">
      <c r="A789" s="6" t="n">
        <v>308965</v>
      </c>
      <c r="B789" s="6" t="s">
        <v>1213</v>
      </c>
      <c r="C789" s="6" t="s">
        <v>1214</v>
      </c>
      <c r="D789" s="6" t="s">
        <v>34</v>
      </c>
      <c r="E789" s="6" t="s">
        <v>35</v>
      </c>
      <c r="F789" s="6" t="n">
        <v>13.34529</v>
      </c>
      <c r="G789" s="6" t="n">
        <v>77.08027</v>
      </c>
      <c r="H789" s="6" t="n">
        <v>1</v>
      </c>
      <c r="I789" s="6" t="n">
        <v>30</v>
      </c>
      <c r="J789" s="6" t="s">
        <v>36</v>
      </c>
      <c r="K789" s="7" t="b">
        <f aca="false">FALSE()</f>
        <v>0</v>
      </c>
    </row>
    <row r="790" customFormat="false" ht="15" hidden="false" customHeight="false" outlineLevel="0" collapsed="false">
      <c r="A790" s="6" t="n">
        <v>308964</v>
      </c>
      <c r="B790" s="6" t="s">
        <v>1215</v>
      </c>
      <c r="C790" s="6" t="s">
        <v>1216</v>
      </c>
      <c r="D790" s="6" t="s">
        <v>34</v>
      </c>
      <c r="E790" s="6" t="s">
        <v>35</v>
      </c>
      <c r="F790" s="6" t="n">
        <v>13.24891</v>
      </c>
      <c r="G790" s="6" t="n">
        <v>77.22395</v>
      </c>
      <c r="H790" s="6" t="n">
        <v>1</v>
      </c>
      <c r="I790" s="6" t="n">
        <v>60</v>
      </c>
      <c r="J790" s="6" t="s">
        <v>39</v>
      </c>
      <c r="K790" s="7" t="b">
        <f aca="false">TRUE()</f>
        <v>1</v>
      </c>
    </row>
    <row r="791" customFormat="false" ht="15" hidden="false" customHeight="false" outlineLevel="0" collapsed="false">
      <c r="A791" s="6" t="n">
        <v>308953</v>
      </c>
      <c r="B791" s="6" t="s">
        <v>1217</v>
      </c>
      <c r="C791" s="6" t="s">
        <v>1218</v>
      </c>
      <c r="D791" s="6" t="s">
        <v>34</v>
      </c>
      <c r="E791" s="6" t="s">
        <v>35</v>
      </c>
      <c r="F791" s="6" t="n">
        <v>14.65406</v>
      </c>
      <c r="G791" s="6" t="n">
        <v>75.56992</v>
      </c>
      <c r="H791" s="6" t="n">
        <v>1</v>
      </c>
      <c r="I791" s="6" t="n">
        <v>30</v>
      </c>
      <c r="J791" s="6" t="s">
        <v>36</v>
      </c>
      <c r="K791" s="7" t="b">
        <f aca="false">FALSE()</f>
        <v>0</v>
      </c>
    </row>
    <row r="792" customFormat="false" ht="15" hidden="false" customHeight="false" outlineLevel="0" collapsed="false">
      <c r="A792" s="6" t="n">
        <v>308951</v>
      </c>
      <c r="B792" s="6" t="s">
        <v>1219</v>
      </c>
      <c r="C792" s="6" t="s">
        <v>1220</v>
      </c>
      <c r="D792" s="6" t="s">
        <v>34</v>
      </c>
      <c r="E792" s="6" t="s">
        <v>35</v>
      </c>
      <c r="F792" s="6" t="n">
        <v>15.40827</v>
      </c>
      <c r="G792" s="6" t="n">
        <v>75.06133</v>
      </c>
      <c r="H792" s="6" t="n">
        <v>1</v>
      </c>
      <c r="I792" s="6" t="n">
        <v>25</v>
      </c>
      <c r="J792" s="6" t="s">
        <v>36</v>
      </c>
      <c r="K792" s="7" t="b">
        <f aca="false">FALSE()</f>
        <v>0</v>
      </c>
    </row>
    <row r="793" customFormat="false" ht="15" hidden="false" customHeight="false" outlineLevel="0" collapsed="false">
      <c r="A793" s="6" t="n">
        <v>308950</v>
      </c>
      <c r="B793" s="6" t="s">
        <v>1221</v>
      </c>
      <c r="C793" s="6" t="s">
        <v>1220</v>
      </c>
      <c r="D793" s="6" t="s">
        <v>34</v>
      </c>
      <c r="E793" s="6" t="s">
        <v>35</v>
      </c>
      <c r="F793" s="6" t="n">
        <v>15.35533</v>
      </c>
      <c r="G793" s="6" t="n">
        <v>75.08915</v>
      </c>
      <c r="H793" s="6" t="n">
        <v>1</v>
      </c>
      <c r="I793" s="6" t="n">
        <v>25</v>
      </c>
      <c r="J793" s="6" t="s">
        <v>36</v>
      </c>
      <c r="K793" s="7" t="b">
        <f aca="false">FALSE()</f>
        <v>0</v>
      </c>
    </row>
    <row r="794" customFormat="false" ht="15" hidden="false" customHeight="false" outlineLevel="0" collapsed="false">
      <c r="A794" s="6" t="n">
        <v>308949</v>
      </c>
      <c r="B794" s="6" t="s">
        <v>1222</v>
      </c>
      <c r="C794" s="6" t="s">
        <v>1220</v>
      </c>
      <c r="D794" s="6" t="s">
        <v>34</v>
      </c>
      <c r="E794" s="6" t="s">
        <v>35</v>
      </c>
      <c r="F794" s="6" t="n">
        <v>15.3593</v>
      </c>
      <c r="G794" s="6" t="n">
        <v>75.12727</v>
      </c>
      <c r="H794" s="6" t="n">
        <v>1</v>
      </c>
      <c r="I794" s="6" t="n">
        <v>60</v>
      </c>
      <c r="J794" s="6" t="s">
        <v>39</v>
      </c>
      <c r="K794" s="7" t="b">
        <f aca="false">TRUE()</f>
        <v>1</v>
      </c>
    </row>
    <row r="795" customFormat="false" ht="15" hidden="false" customHeight="false" outlineLevel="0" collapsed="false">
      <c r="A795" s="6" t="n">
        <v>308946</v>
      </c>
      <c r="B795" s="6" t="s">
        <v>1223</v>
      </c>
      <c r="C795" s="6" t="s">
        <v>1224</v>
      </c>
      <c r="D795" s="6" t="s">
        <v>34</v>
      </c>
      <c r="E795" s="6" t="s">
        <v>35</v>
      </c>
      <c r="F795" s="6" t="n">
        <v>15.27878</v>
      </c>
      <c r="G795" s="6" t="n">
        <v>75.14759</v>
      </c>
      <c r="H795" s="6" t="n">
        <v>1</v>
      </c>
      <c r="I795" s="6" t="n">
        <v>150</v>
      </c>
      <c r="J795" s="6" t="s">
        <v>748</v>
      </c>
      <c r="K795" s="7" t="b">
        <f aca="false">TRUE()</f>
        <v>1</v>
      </c>
    </row>
    <row r="796" customFormat="false" ht="15" hidden="false" customHeight="false" outlineLevel="0" collapsed="false">
      <c r="A796" s="6" t="n">
        <v>308945</v>
      </c>
      <c r="B796" s="6" t="s">
        <v>1225</v>
      </c>
      <c r="C796" s="6" t="s">
        <v>1226</v>
      </c>
      <c r="D796" s="6" t="s">
        <v>34</v>
      </c>
      <c r="E796" s="6" t="s">
        <v>35</v>
      </c>
      <c r="F796" s="6" t="n">
        <v>14.94519</v>
      </c>
      <c r="G796" s="6" t="n">
        <v>75.25032</v>
      </c>
      <c r="H796" s="6" t="n">
        <v>1</v>
      </c>
      <c r="I796" s="6" t="n">
        <v>60</v>
      </c>
      <c r="J796" s="6" t="s">
        <v>39</v>
      </c>
      <c r="K796" s="7" t="b">
        <f aca="false">TRUE()</f>
        <v>1</v>
      </c>
    </row>
    <row r="797" customFormat="false" ht="15" hidden="false" customHeight="false" outlineLevel="0" collapsed="false">
      <c r="A797" s="6" t="n">
        <v>308944</v>
      </c>
      <c r="B797" s="6" t="s">
        <v>1227</v>
      </c>
      <c r="C797" s="6" t="s">
        <v>1228</v>
      </c>
      <c r="D797" s="6" t="s">
        <v>34</v>
      </c>
      <c r="E797" s="6" t="s">
        <v>35</v>
      </c>
      <c r="F797" s="6" t="n">
        <v>14.97927</v>
      </c>
      <c r="G797" s="6" t="n">
        <v>75.04431</v>
      </c>
      <c r="H797" s="6" t="n">
        <v>1</v>
      </c>
      <c r="I797" s="6" t="n">
        <v>30</v>
      </c>
      <c r="J797" s="6" t="s">
        <v>36</v>
      </c>
      <c r="K797" s="7" t="b">
        <f aca="false">FALSE()</f>
        <v>0</v>
      </c>
    </row>
    <row r="798" customFormat="false" ht="15" hidden="false" customHeight="false" outlineLevel="0" collapsed="false">
      <c r="A798" s="6" t="n">
        <v>308943</v>
      </c>
      <c r="B798" s="6" t="s">
        <v>1229</v>
      </c>
      <c r="C798" s="6" t="s">
        <v>1230</v>
      </c>
      <c r="D798" s="6" t="s">
        <v>34</v>
      </c>
      <c r="E798" s="6" t="s">
        <v>35</v>
      </c>
      <c r="F798" s="6" t="n">
        <v>14.96012</v>
      </c>
      <c r="G798" s="6" t="n">
        <v>74.71765</v>
      </c>
      <c r="H798" s="6" t="n">
        <v>1</v>
      </c>
      <c r="I798" s="6" t="n">
        <v>30</v>
      </c>
      <c r="J798" s="6" t="s">
        <v>36</v>
      </c>
      <c r="K798" s="7" t="b">
        <f aca="false">FALSE()</f>
        <v>0</v>
      </c>
    </row>
    <row r="799" customFormat="false" ht="15" hidden="false" customHeight="false" outlineLevel="0" collapsed="false">
      <c r="A799" s="6" t="n">
        <v>308942</v>
      </c>
      <c r="B799" s="6" t="s">
        <v>1231</v>
      </c>
      <c r="C799" s="6" t="s">
        <v>1232</v>
      </c>
      <c r="D799" s="6" t="s">
        <v>34</v>
      </c>
      <c r="E799" s="6" t="s">
        <v>35</v>
      </c>
      <c r="F799" s="6" t="n">
        <v>14.3166</v>
      </c>
      <c r="G799" s="6" t="n">
        <v>74.42836</v>
      </c>
      <c r="H799" s="6" t="n">
        <v>1</v>
      </c>
      <c r="I799" s="6" t="n">
        <v>7</v>
      </c>
      <c r="J799" s="6" t="s">
        <v>126</v>
      </c>
      <c r="K799" s="7" t="b">
        <f aca="false">FALSE()</f>
        <v>0</v>
      </c>
    </row>
    <row r="800" customFormat="false" ht="15" hidden="false" customHeight="false" outlineLevel="0" collapsed="false">
      <c r="A800" s="6" t="n">
        <v>308941</v>
      </c>
      <c r="B800" s="6" t="s">
        <v>1233</v>
      </c>
      <c r="C800" s="6" t="s">
        <v>1232</v>
      </c>
      <c r="D800" s="6" t="s">
        <v>34</v>
      </c>
      <c r="E800" s="6" t="s">
        <v>35</v>
      </c>
      <c r="F800" s="6" t="n">
        <v>14.32599</v>
      </c>
      <c r="G800" s="6" t="n">
        <v>74.42664</v>
      </c>
      <c r="H800" s="6" t="n">
        <v>1</v>
      </c>
      <c r="I800" s="6" t="n">
        <v>60</v>
      </c>
      <c r="J800" s="6" t="s">
        <v>39</v>
      </c>
      <c r="K800" s="7" t="b">
        <f aca="false">TRUE()</f>
        <v>1</v>
      </c>
    </row>
    <row r="801" customFormat="false" ht="15" hidden="false" customHeight="false" outlineLevel="0" collapsed="false">
      <c r="A801" s="6" t="n">
        <v>308940</v>
      </c>
      <c r="B801" s="6" t="s">
        <v>1234</v>
      </c>
      <c r="C801" s="6" t="s">
        <v>1235</v>
      </c>
      <c r="D801" s="6" t="s">
        <v>34</v>
      </c>
      <c r="E801" s="6" t="s">
        <v>35</v>
      </c>
      <c r="F801" s="6" t="n">
        <v>13.86534</v>
      </c>
      <c r="G801" s="6" t="n">
        <v>74.81452</v>
      </c>
      <c r="H801" s="6" t="n">
        <v>1</v>
      </c>
      <c r="I801" s="6" t="n">
        <v>7</v>
      </c>
      <c r="J801" s="6" t="s">
        <v>126</v>
      </c>
      <c r="K801" s="7" t="b">
        <f aca="false">FALSE()</f>
        <v>0</v>
      </c>
    </row>
    <row r="802" customFormat="false" ht="15" hidden="false" customHeight="false" outlineLevel="0" collapsed="false">
      <c r="A802" s="6" t="n">
        <v>308939</v>
      </c>
      <c r="B802" s="6" t="s">
        <v>1236</v>
      </c>
      <c r="C802" s="6" t="s">
        <v>1237</v>
      </c>
      <c r="D802" s="6" t="s">
        <v>34</v>
      </c>
      <c r="E802" s="6" t="s">
        <v>35</v>
      </c>
      <c r="F802" s="6" t="n">
        <v>13.42865</v>
      </c>
      <c r="G802" s="6" t="n">
        <v>75.25619</v>
      </c>
      <c r="H802" s="6" t="n">
        <v>2</v>
      </c>
      <c r="I802" s="6" t="n">
        <v>7</v>
      </c>
      <c r="J802" s="6" t="s">
        <v>126</v>
      </c>
      <c r="K802" s="7" t="b">
        <f aca="false">FALSE()</f>
        <v>0</v>
      </c>
    </row>
    <row r="803" customFormat="false" ht="15" hidden="false" customHeight="false" outlineLevel="0" collapsed="false">
      <c r="A803" s="6" t="n">
        <v>308938</v>
      </c>
      <c r="B803" s="6" t="s">
        <v>1238</v>
      </c>
      <c r="C803" s="6" t="s">
        <v>1239</v>
      </c>
      <c r="D803" s="6" t="s">
        <v>34</v>
      </c>
      <c r="E803" s="6" t="s">
        <v>35</v>
      </c>
      <c r="F803" s="6" t="n">
        <v>13.32784</v>
      </c>
      <c r="G803" s="6" t="n">
        <v>75.77365</v>
      </c>
      <c r="H803" s="6" t="n">
        <v>1</v>
      </c>
      <c r="I803" s="6" t="n">
        <v>7</v>
      </c>
      <c r="J803" s="6" t="s">
        <v>126</v>
      </c>
      <c r="K803" s="7" t="b">
        <f aca="false">FALSE()</f>
        <v>0</v>
      </c>
    </row>
    <row r="804" customFormat="false" ht="15" hidden="false" customHeight="false" outlineLevel="0" collapsed="false">
      <c r="A804" s="6" t="n">
        <v>308937</v>
      </c>
      <c r="B804" s="6" t="s">
        <v>1240</v>
      </c>
      <c r="C804" s="6" t="s">
        <v>1239</v>
      </c>
      <c r="D804" s="6" t="s">
        <v>34</v>
      </c>
      <c r="E804" s="6" t="s">
        <v>35</v>
      </c>
      <c r="F804" s="6" t="n">
        <v>13.31755</v>
      </c>
      <c r="G804" s="6" t="n">
        <v>75.77101</v>
      </c>
      <c r="H804" s="6" t="n">
        <v>1</v>
      </c>
      <c r="I804" s="6" t="n">
        <v>60</v>
      </c>
      <c r="J804" s="6" t="s">
        <v>39</v>
      </c>
      <c r="K804" s="7" t="b">
        <f aca="false">TRUE()</f>
        <v>1</v>
      </c>
    </row>
    <row r="805" customFormat="false" ht="15" hidden="false" customHeight="false" outlineLevel="0" collapsed="false">
      <c r="A805" s="6" t="n">
        <v>308936</v>
      </c>
      <c r="B805" s="6" t="s">
        <v>1241</v>
      </c>
      <c r="C805" s="6" t="s">
        <v>1242</v>
      </c>
      <c r="D805" s="6" t="s">
        <v>753</v>
      </c>
      <c r="E805" s="6" t="s">
        <v>35</v>
      </c>
      <c r="F805" s="6" t="n">
        <v>11.27928</v>
      </c>
      <c r="G805" s="6" t="n">
        <v>76.94778</v>
      </c>
      <c r="H805" s="6" t="n">
        <v>1</v>
      </c>
      <c r="I805" s="6" t="n">
        <v>60</v>
      </c>
      <c r="J805" s="6" t="s">
        <v>39</v>
      </c>
      <c r="K805" s="7" t="b">
        <f aca="false">TRUE()</f>
        <v>1</v>
      </c>
    </row>
    <row r="806" customFormat="false" ht="15" hidden="false" customHeight="false" outlineLevel="0" collapsed="false">
      <c r="A806" s="6" t="n">
        <v>308935</v>
      </c>
      <c r="B806" s="6" t="s">
        <v>880</v>
      </c>
      <c r="C806" s="6" t="s">
        <v>1242</v>
      </c>
      <c r="D806" s="6" t="s">
        <v>753</v>
      </c>
      <c r="E806" s="6" t="s">
        <v>35</v>
      </c>
      <c r="F806" s="6" t="n">
        <v>11.32163</v>
      </c>
      <c r="G806" s="6" t="n">
        <v>76.9161</v>
      </c>
      <c r="H806" s="6" t="n">
        <v>1</v>
      </c>
      <c r="I806" s="6" t="n">
        <v>60</v>
      </c>
      <c r="J806" s="6" t="s">
        <v>39</v>
      </c>
      <c r="K806" s="7" t="b">
        <f aca="false">TRUE()</f>
        <v>1</v>
      </c>
    </row>
    <row r="807" customFormat="false" ht="15" hidden="false" customHeight="false" outlineLevel="0" collapsed="false">
      <c r="A807" s="6" t="n">
        <v>308934</v>
      </c>
      <c r="B807" s="6" t="s">
        <v>1243</v>
      </c>
      <c r="C807" s="6" t="s">
        <v>1244</v>
      </c>
      <c r="D807" s="6" t="s">
        <v>753</v>
      </c>
      <c r="E807" s="6" t="s">
        <v>35</v>
      </c>
      <c r="F807" s="6" t="n">
        <v>11.36142</v>
      </c>
      <c r="G807" s="6" t="n">
        <v>76.79607</v>
      </c>
      <c r="H807" s="6" t="n">
        <v>1</v>
      </c>
      <c r="I807" s="6" t="n">
        <v>22</v>
      </c>
      <c r="J807" s="6" t="s">
        <v>36</v>
      </c>
      <c r="K807" s="7" t="b">
        <f aca="false">FALSE()</f>
        <v>0</v>
      </c>
    </row>
    <row r="808" customFormat="false" ht="15" hidden="false" customHeight="false" outlineLevel="0" collapsed="false">
      <c r="A808" s="6" t="n">
        <v>308933</v>
      </c>
      <c r="B808" s="6" t="s">
        <v>1245</v>
      </c>
      <c r="C808" s="6" t="s">
        <v>1246</v>
      </c>
      <c r="D808" s="6" t="s">
        <v>753</v>
      </c>
      <c r="E808" s="6" t="s">
        <v>35</v>
      </c>
      <c r="F808" s="6" t="n">
        <v>11.34605</v>
      </c>
      <c r="G808" s="6" t="n">
        <v>76.80108</v>
      </c>
      <c r="H808" s="6" t="n">
        <v>1</v>
      </c>
      <c r="I808" s="6" t="n">
        <v>30</v>
      </c>
      <c r="J808" s="6" t="s">
        <v>36</v>
      </c>
      <c r="K808" s="7" t="b">
        <f aca="false">FALSE()</f>
        <v>0</v>
      </c>
    </row>
    <row r="809" customFormat="false" ht="15" hidden="false" customHeight="false" outlineLevel="0" collapsed="false">
      <c r="A809" s="6" t="n">
        <v>308932</v>
      </c>
      <c r="B809" s="6" t="s">
        <v>1247</v>
      </c>
      <c r="C809" s="6" t="s">
        <v>1248</v>
      </c>
      <c r="D809" s="6" t="s">
        <v>753</v>
      </c>
      <c r="E809" s="6" t="s">
        <v>35</v>
      </c>
      <c r="F809" s="6" t="n">
        <v>11.33652</v>
      </c>
      <c r="G809" s="6" t="n">
        <v>76.71073</v>
      </c>
      <c r="H809" s="6" t="n">
        <v>1</v>
      </c>
      <c r="I809" s="6" t="n">
        <v>22</v>
      </c>
      <c r="J809" s="6" t="s">
        <v>36</v>
      </c>
      <c r="K809" s="7" t="b">
        <f aca="false">FALSE()</f>
        <v>0</v>
      </c>
    </row>
    <row r="810" customFormat="false" ht="15" hidden="false" customHeight="false" outlineLevel="0" collapsed="false">
      <c r="A810" s="6" t="n">
        <v>308931</v>
      </c>
      <c r="B810" s="6" t="s">
        <v>1249</v>
      </c>
      <c r="C810" s="6" t="s">
        <v>836</v>
      </c>
      <c r="D810" s="6" t="s">
        <v>753</v>
      </c>
      <c r="E810" s="6" t="s">
        <v>35</v>
      </c>
      <c r="F810" s="6" t="n">
        <v>11.4023</v>
      </c>
      <c r="G810" s="6" t="n">
        <v>76.69714</v>
      </c>
      <c r="H810" s="6" t="n">
        <v>1</v>
      </c>
      <c r="I810" s="6" t="n">
        <v>22</v>
      </c>
      <c r="J810" s="6" t="s">
        <v>36</v>
      </c>
      <c r="K810" s="7" t="b">
        <f aca="false">FALSE()</f>
        <v>0</v>
      </c>
    </row>
    <row r="811" customFormat="false" ht="15" hidden="false" customHeight="false" outlineLevel="0" collapsed="false">
      <c r="A811" s="6" t="n">
        <v>308930</v>
      </c>
      <c r="B811" s="6" t="s">
        <v>1250</v>
      </c>
      <c r="C811" s="6" t="s">
        <v>836</v>
      </c>
      <c r="D811" s="6" t="s">
        <v>753</v>
      </c>
      <c r="E811" s="6" t="s">
        <v>35</v>
      </c>
      <c r="F811" s="6" t="n">
        <v>11.39057</v>
      </c>
      <c r="G811" s="6" t="n">
        <v>76.69866</v>
      </c>
      <c r="H811" s="6" t="n">
        <v>1</v>
      </c>
      <c r="I811" s="6" t="n">
        <v>60</v>
      </c>
      <c r="J811" s="6" t="s">
        <v>39</v>
      </c>
      <c r="K811" s="7" t="b">
        <f aca="false">TRUE()</f>
        <v>1</v>
      </c>
    </row>
    <row r="812" customFormat="false" ht="15" hidden="false" customHeight="false" outlineLevel="0" collapsed="false">
      <c r="A812" s="6" t="n">
        <v>308929</v>
      </c>
      <c r="B812" s="6" t="s">
        <v>1251</v>
      </c>
      <c r="C812" s="6" t="s">
        <v>836</v>
      </c>
      <c r="D812" s="6" t="s">
        <v>753</v>
      </c>
      <c r="E812" s="6" t="s">
        <v>35</v>
      </c>
      <c r="F812" s="6" t="n">
        <v>11.42074</v>
      </c>
      <c r="G812" s="6" t="n">
        <v>76.70407</v>
      </c>
      <c r="H812" s="6" t="n">
        <v>2</v>
      </c>
      <c r="I812" s="6" t="n">
        <v>24</v>
      </c>
      <c r="J812" s="6" t="s">
        <v>36</v>
      </c>
      <c r="K812" s="7" t="b">
        <f aca="false">FALSE()</f>
        <v>0</v>
      </c>
    </row>
    <row r="813" customFormat="false" ht="15" hidden="false" customHeight="false" outlineLevel="0" collapsed="false">
      <c r="A813" s="6" t="n">
        <v>308928</v>
      </c>
      <c r="B813" s="6" t="s">
        <v>1252</v>
      </c>
      <c r="C813" s="6" t="s">
        <v>836</v>
      </c>
      <c r="D813" s="6" t="s">
        <v>753</v>
      </c>
      <c r="E813" s="6" t="s">
        <v>35</v>
      </c>
      <c r="F813" s="6" t="n">
        <v>11.41494</v>
      </c>
      <c r="G813" s="6" t="n">
        <v>76.69288</v>
      </c>
      <c r="H813" s="6" t="n">
        <v>1</v>
      </c>
      <c r="I813" s="6" t="n">
        <v>50</v>
      </c>
      <c r="J813" s="6" t="s">
        <v>39</v>
      </c>
      <c r="K813" s="7" t="b">
        <f aca="false">TRUE()</f>
        <v>1</v>
      </c>
    </row>
    <row r="814" customFormat="false" ht="15" hidden="false" customHeight="false" outlineLevel="0" collapsed="false">
      <c r="A814" s="6" t="n">
        <v>308927</v>
      </c>
      <c r="B814" s="6" t="s">
        <v>1253</v>
      </c>
      <c r="C814" s="6" t="s">
        <v>1254</v>
      </c>
      <c r="D814" s="6" t="s">
        <v>34</v>
      </c>
      <c r="E814" s="6" t="s">
        <v>35</v>
      </c>
      <c r="F814" s="6" t="n">
        <v>11.69692</v>
      </c>
      <c r="G814" s="6" t="n">
        <v>76.63576</v>
      </c>
      <c r="H814" s="6" t="n">
        <v>1</v>
      </c>
      <c r="I814" s="6" t="n">
        <v>60</v>
      </c>
      <c r="J814" s="6" t="s">
        <v>39</v>
      </c>
      <c r="K814" s="7" t="b">
        <f aca="false">TRUE()</f>
        <v>1</v>
      </c>
    </row>
    <row r="815" customFormat="false" ht="15" hidden="false" customHeight="false" outlineLevel="0" collapsed="false">
      <c r="A815" s="6" t="n">
        <v>308926</v>
      </c>
      <c r="B815" s="6" t="s">
        <v>1255</v>
      </c>
      <c r="C815" s="6" t="s">
        <v>1256</v>
      </c>
      <c r="D815" s="6" t="s">
        <v>34</v>
      </c>
      <c r="E815" s="6" t="s">
        <v>35</v>
      </c>
      <c r="F815" s="6" t="n">
        <v>11.70634</v>
      </c>
      <c r="G815" s="6" t="n">
        <v>76.64111</v>
      </c>
      <c r="H815" s="6" t="n">
        <v>1</v>
      </c>
      <c r="I815" s="6" t="n">
        <v>60</v>
      </c>
      <c r="J815" s="6" t="s">
        <v>39</v>
      </c>
      <c r="K815" s="7" t="b">
        <f aca="false">TRUE()</f>
        <v>1</v>
      </c>
    </row>
    <row r="816" customFormat="false" ht="15" hidden="false" customHeight="false" outlineLevel="0" collapsed="false">
      <c r="A816" s="6" t="n">
        <v>308925</v>
      </c>
      <c r="B816" s="6" t="s">
        <v>1257</v>
      </c>
      <c r="C816" s="6" t="s">
        <v>1258</v>
      </c>
      <c r="D816" s="6" t="s">
        <v>34</v>
      </c>
      <c r="E816" s="6" t="s">
        <v>35</v>
      </c>
      <c r="F816" s="6" t="n">
        <v>12.63923</v>
      </c>
      <c r="G816" s="6" t="n">
        <v>77.14021</v>
      </c>
      <c r="H816" s="6" t="n">
        <v>1</v>
      </c>
      <c r="I816" s="6" t="n">
        <v>80</v>
      </c>
      <c r="J816" s="6" t="s">
        <v>39</v>
      </c>
      <c r="K816" s="7" t="b">
        <f aca="false">TRUE()</f>
        <v>1</v>
      </c>
    </row>
    <row r="817" customFormat="false" ht="15" hidden="false" customHeight="false" outlineLevel="0" collapsed="false">
      <c r="A817" s="6" t="n">
        <v>308924</v>
      </c>
      <c r="B817" s="6" t="s">
        <v>1259</v>
      </c>
      <c r="C817" s="6" t="s">
        <v>1260</v>
      </c>
      <c r="D817" s="6" t="s">
        <v>34</v>
      </c>
      <c r="E817" s="6" t="s">
        <v>35</v>
      </c>
      <c r="F817" s="6" t="n">
        <v>12.80007</v>
      </c>
      <c r="G817" s="6" t="n">
        <v>77.41324</v>
      </c>
      <c r="H817" s="6" t="n">
        <v>1</v>
      </c>
      <c r="I817" s="6" t="n">
        <v>60</v>
      </c>
      <c r="J817" s="6" t="s">
        <v>39</v>
      </c>
      <c r="K817" s="7" t="b">
        <f aca="false">TRUE()</f>
        <v>1</v>
      </c>
    </row>
    <row r="818" customFormat="false" ht="15" hidden="false" customHeight="false" outlineLevel="0" collapsed="false">
      <c r="A818" s="6" t="n">
        <v>308923</v>
      </c>
      <c r="B818" s="6" t="s">
        <v>1261</v>
      </c>
      <c r="C818" s="6" t="s">
        <v>951</v>
      </c>
      <c r="D818" s="6" t="s">
        <v>34</v>
      </c>
      <c r="E818" s="6" t="s">
        <v>35</v>
      </c>
      <c r="F818" s="6" t="n">
        <v>12.90073</v>
      </c>
      <c r="G818" s="6" t="n">
        <v>77.63203</v>
      </c>
      <c r="H818" s="6" t="n">
        <v>1</v>
      </c>
      <c r="I818" s="6" t="n">
        <v>60</v>
      </c>
      <c r="J818" s="6" t="s">
        <v>39</v>
      </c>
      <c r="K818" s="7" t="b">
        <f aca="false">TRUE()</f>
        <v>1</v>
      </c>
    </row>
    <row r="819" customFormat="false" ht="15" hidden="false" customHeight="false" outlineLevel="0" collapsed="false">
      <c r="A819" s="6" t="n">
        <v>308922</v>
      </c>
      <c r="B819" s="6" t="s">
        <v>1262</v>
      </c>
      <c r="C819" s="6" t="s">
        <v>951</v>
      </c>
      <c r="D819" s="6" t="s">
        <v>34</v>
      </c>
      <c r="E819" s="6" t="s">
        <v>35</v>
      </c>
      <c r="F819" s="6" t="n">
        <v>12.90212</v>
      </c>
      <c r="G819" s="6" t="n">
        <v>77.64191</v>
      </c>
      <c r="H819" s="6" t="n">
        <v>1</v>
      </c>
      <c r="I819" s="6" t="n">
        <v>60</v>
      </c>
      <c r="J819" s="6" t="s">
        <v>39</v>
      </c>
      <c r="K819" s="7" t="b">
        <f aca="false">TRUE()</f>
        <v>1</v>
      </c>
    </row>
    <row r="820" customFormat="false" ht="15" hidden="false" customHeight="false" outlineLevel="0" collapsed="false">
      <c r="A820" s="6" t="n">
        <v>308921</v>
      </c>
      <c r="B820" s="6" t="s">
        <v>1263</v>
      </c>
      <c r="C820" s="6" t="s">
        <v>951</v>
      </c>
      <c r="D820" s="6" t="s">
        <v>34</v>
      </c>
      <c r="E820" s="6" t="s">
        <v>35</v>
      </c>
      <c r="F820" s="6" t="n">
        <v>12.86308</v>
      </c>
      <c r="G820" s="6" t="n">
        <v>77.65922</v>
      </c>
      <c r="H820" s="6" t="n">
        <v>1</v>
      </c>
      <c r="I820" s="6" t="n">
        <v>60</v>
      </c>
      <c r="J820" s="6" t="s">
        <v>39</v>
      </c>
      <c r="K820" s="7" t="b">
        <f aca="false">TRUE()</f>
        <v>1</v>
      </c>
    </row>
    <row r="821" customFormat="false" ht="15" hidden="false" customHeight="false" outlineLevel="0" collapsed="false">
      <c r="A821" s="6" t="n">
        <v>308920</v>
      </c>
      <c r="B821" s="6" t="s">
        <v>1264</v>
      </c>
      <c r="C821" s="6" t="s">
        <v>951</v>
      </c>
      <c r="D821" s="6" t="s">
        <v>34</v>
      </c>
      <c r="E821" s="6" t="s">
        <v>35</v>
      </c>
      <c r="F821" s="6" t="n">
        <v>12.86462</v>
      </c>
      <c r="G821" s="6" t="n">
        <v>77.67486</v>
      </c>
      <c r="H821" s="6" t="n">
        <v>1</v>
      </c>
      <c r="I821" s="6" t="n">
        <v>60</v>
      </c>
      <c r="J821" s="6" t="s">
        <v>39</v>
      </c>
      <c r="K821" s="7" t="b">
        <f aca="false">TRUE()</f>
        <v>1</v>
      </c>
    </row>
    <row r="822" customFormat="false" ht="15" hidden="false" customHeight="false" outlineLevel="0" collapsed="false">
      <c r="A822" s="6" t="n">
        <v>308919</v>
      </c>
      <c r="B822" s="6" t="s">
        <v>1265</v>
      </c>
      <c r="C822" s="6" t="s">
        <v>951</v>
      </c>
      <c r="D822" s="6" t="s">
        <v>34</v>
      </c>
      <c r="E822" s="6" t="s">
        <v>35</v>
      </c>
      <c r="F822" s="6" t="n">
        <v>12.79284</v>
      </c>
      <c r="G822" s="6" t="n">
        <v>77.72766</v>
      </c>
      <c r="H822" s="6" t="n">
        <v>1</v>
      </c>
      <c r="I822" s="6" t="n">
        <v>60</v>
      </c>
      <c r="J822" s="6" t="s">
        <v>39</v>
      </c>
      <c r="K822" s="7" t="b">
        <f aca="false">TRUE()</f>
        <v>1</v>
      </c>
    </row>
    <row r="823" customFormat="false" ht="15" hidden="false" customHeight="false" outlineLevel="0" collapsed="false">
      <c r="A823" s="6" t="n">
        <v>308918</v>
      </c>
      <c r="B823" s="6" t="s">
        <v>1266</v>
      </c>
      <c r="C823" s="6" t="s">
        <v>951</v>
      </c>
      <c r="D823" s="6" t="s">
        <v>34</v>
      </c>
      <c r="E823" s="6" t="s">
        <v>35</v>
      </c>
      <c r="F823" s="6" t="n">
        <v>12.82734</v>
      </c>
      <c r="G823" s="6" t="n">
        <v>77.65552</v>
      </c>
      <c r="H823" s="6" t="n">
        <v>1</v>
      </c>
      <c r="I823" s="6" t="n">
        <v>60</v>
      </c>
      <c r="J823" s="6" t="s">
        <v>39</v>
      </c>
      <c r="K823" s="7" t="b">
        <f aca="false">TRUE()</f>
        <v>1</v>
      </c>
    </row>
    <row r="824" customFormat="false" ht="15" hidden="false" customHeight="false" outlineLevel="0" collapsed="false">
      <c r="A824" s="6" t="n">
        <v>308917</v>
      </c>
      <c r="B824" s="6" t="s">
        <v>1267</v>
      </c>
      <c r="C824" s="6" t="s">
        <v>951</v>
      </c>
      <c r="D824" s="6" t="s">
        <v>34</v>
      </c>
      <c r="E824" s="6" t="s">
        <v>35</v>
      </c>
      <c r="F824" s="6" t="n">
        <v>12.85845</v>
      </c>
      <c r="G824" s="6" t="n">
        <v>77.58721</v>
      </c>
      <c r="H824" s="6" t="n">
        <v>1</v>
      </c>
      <c r="I824" s="6" t="n">
        <v>60</v>
      </c>
      <c r="J824" s="6" t="s">
        <v>39</v>
      </c>
      <c r="K824" s="7" t="b">
        <f aca="false">TRUE()</f>
        <v>1</v>
      </c>
    </row>
    <row r="825" customFormat="false" ht="15" hidden="false" customHeight="false" outlineLevel="0" collapsed="false">
      <c r="A825" s="6" t="n">
        <v>308916</v>
      </c>
      <c r="B825" s="6" t="s">
        <v>1268</v>
      </c>
      <c r="C825" s="6" t="s">
        <v>368</v>
      </c>
      <c r="D825" s="6" t="s">
        <v>34</v>
      </c>
      <c r="E825" s="6" t="s">
        <v>35</v>
      </c>
      <c r="F825" s="6" t="n">
        <v>12.34912</v>
      </c>
      <c r="G825" s="6" t="n">
        <v>76.57168</v>
      </c>
      <c r="H825" s="6" t="n">
        <v>1</v>
      </c>
      <c r="I825" s="6" t="n">
        <v>60</v>
      </c>
      <c r="J825" s="6" t="s">
        <v>39</v>
      </c>
      <c r="K825" s="7" t="b">
        <f aca="false">TRUE()</f>
        <v>1</v>
      </c>
    </row>
    <row r="826" customFormat="false" ht="15" hidden="false" customHeight="false" outlineLevel="0" collapsed="false">
      <c r="A826" s="6" t="n">
        <v>308915</v>
      </c>
      <c r="B826" s="6" t="s">
        <v>1269</v>
      </c>
      <c r="C826" s="6" t="s">
        <v>1113</v>
      </c>
      <c r="D826" s="6" t="s">
        <v>34</v>
      </c>
      <c r="E826" s="6" t="s">
        <v>35</v>
      </c>
      <c r="F826" s="6" t="n">
        <v>12.90145</v>
      </c>
      <c r="G826" s="6" t="n">
        <v>74.84193</v>
      </c>
      <c r="H826" s="6" t="n">
        <v>1</v>
      </c>
      <c r="I826" s="6" t="n">
        <v>60</v>
      </c>
      <c r="J826" s="6" t="s">
        <v>39</v>
      </c>
      <c r="K826" s="7" t="b">
        <f aca="false">TRUE()</f>
        <v>1</v>
      </c>
    </row>
    <row r="827" customFormat="false" ht="15" hidden="false" customHeight="false" outlineLevel="0" collapsed="false">
      <c r="A827" s="6" t="n">
        <v>308914</v>
      </c>
      <c r="B827" s="6" t="s">
        <v>1270</v>
      </c>
      <c r="C827" s="6" t="s">
        <v>1271</v>
      </c>
      <c r="D827" s="6" t="s">
        <v>34</v>
      </c>
      <c r="E827" s="6" t="s">
        <v>35</v>
      </c>
      <c r="F827" s="6" t="n">
        <v>15.52849</v>
      </c>
      <c r="G827" s="6" t="n">
        <v>74.90613</v>
      </c>
      <c r="H827" s="6" t="n">
        <v>1</v>
      </c>
      <c r="I827" s="6" t="n">
        <v>120</v>
      </c>
      <c r="J827" s="6" t="s">
        <v>39</v>
      </c>
      <c r="K827" s="7" t="b">
        <f aca="false">TRUE()</f>
        <v>1</v>
      </c>
    </row>
    <row r="828" customFormat="false" ht="15" hidden="false" customHeight="false" outlineLevel="0" collapsed="false">
      <c r="A828" s="6" t="n">
        <v>308913</v>
      </c>
      <c r="B828" s="6" t="s">
        <v>1272</v>
      </c>
      <c r="C828" s="6" t="s">
        <v>1220</v>
      </c>
      <c r="D828" s="6" t="s">
        <v>34</v>
      </c>
      <c r="E828" s="6" t="s">
        <v>35</v>
      </c>
      <c r="F828" s="6" t="n">
        <v>15.240056</v>
      </c>
      <c r="G828" s="6" t="n">
        <v>75.14345</v>
      </c>
      <c r="H828" s="6" t="n">
        <v>1</v>
      </c>
      <c r="I828" s="6" t="n">
        <v>120</v>
      </c>
      <c r="J828" s="6" t="s">
        <v>39</v>
      </c>
      <c r="K828" s="7" t="b">
        <f aca="false">TRUE()</f>
        <v>1</v>
      </c>
    </row>
    <row r="829" customFormat="false" ht="15" hidden="false" customHeight="false" outlineLevel="0" collapsed="false">
      <c r="A829" s="6" t="n">
        <v>308907</v>
      </c>
      <c r="B829" s="6" t="s">
        <v>1273</v>
      </c>
      <c r="C829" s="6" t="s">
        <v>1274</v>
      </c>
      <c r="D829" s="6" t="s">
        <v>34</v>
      </c>
      <c r="E829" s="6" t="s">
        <v>35</v>
      </c>
      <c r="F829" s="6" t="n">
        <v>12.76356</v>
      </c>
      <c r="G829" s="6" t="n">
        <v>77.70167</v>
      </c>
      <c r="H829" s="6" t="n">
        <v>1</v>
      </c>
      <c r="I829" s="6" t="n">
        <v>120</v>
      </c>
      <c r="J829" s="6" t="s">
        <v>39</v>
      </c>
      <c r="K829" s="7" t="b">
        <f aca="false">TRUE()</f>
        <v>1</v>
      </c>
    </row>
    <row r="830" customFormat="false" ht="15" hidden="false" customHeight="false" outlineLevel="0" collapsed="false">
      <c r="A830" s="6" t="n">
        <v>308906</v>
      </c>
      <c r="B830" s="6" t="s">
        <v>1130</v>
      </c>
      <c r="C830" s="6" t="s">
        <v>1131</v>
      </c>
      <c r="D830" s="6" t="s">
        <v>34</v>
      </c>
      <c r="E830" s="6" t="s">
        <v>35</v>
      </c>
      <c r="F830" s="6" t="n">
        <v>13.26416</v>
      </c>
      <c r="G830" s="6" t="n">
        <v>77.71751</v>
      </c>
      <c r="H830" s="6" t="n">
        <v>1</v>
      </c>
      <c r="I830" s="6" t="n">
        <v>120</v>
      </c>
      <c r="J830" s="6" t="s">
        <v>39</v>
      </c>
      <c r="K830" s="7" t="b">
        <f aca="false">TRUE()</f>
        <v>1</v>
      </c>
    </row>
    <row r="831" customFormat="false" ht="15" hidden="false" customHeight="false" outlineLevel="0" collapsed="false">
      <c r="A831" s="6" t="n">
        <v>308905</v>
      </c>
      <c r="B831" s="6" t="s">
        <v>1275</v>
      </c>
      <c r="C831" s="6" t="s">
        <v>949</v>
      </c>
      <c r="D831" s="6" t="s">
        <v>34</v>
      </c>
      <c r="E831" s="6" t="s">
        <v>35</v>
      </c>
      <c r="F831" s="6" t="n">
        <v>12.788407</v>
      </c>
      <c r="G831" s="6" t="n">
        <v>77.736825</v>
      </c>
      <c r="H831" s="6" t="n">
        <v>1</v>
      </c>
      <c r="I831" s="6" t="n">
        <v>120</v>
      </c>
      <c r="J831" s="6" t="s">
        <v>39</v>
      </c>
      <c r="K831" s="7" t="b">
        <f aca="false">TRUE()</f>
        <v>1</v>
      </c>
    </row>
    <row r="832" customFormat="false" ht="15" hidden="false" customHeight="false" outlineLevel="0" collapsed="false">
      <c r="A832" s="6" t="n">
        <v>308904</v>
      </c>
      <c r="B832" s="6" t="s">
        <v>1276</v>
      </c>
      <c r="C832" s="6" t="s">
        <v>951</v>
      </c>
      <c r="D832" s="6" t="s">
        <v>34</v>
      </c>
      <c r="E832" s="6" t="s">
        <v>35</v>
      </c>
      <c r="F832" s="6" t="n">
        <v>12.86276</v>
      </c>
      <c r="G832" s="6" t="n">
        <v>77.53146</v>
      </c>
      <c r="H832" s="6" t="n">
        <v>1</v>
      </c>
      <c r="I832" s="6" t="n">
        <v>120</v>
      </c>
      <c r="J832" s="6" t="s">
        <v>39</v>
      </c>
      <c r="K832" s="7" t="b">
        <f aca="false">TRUE()</f>
        <v>1</v>
      </c>
    </row>
    <row r="833" customFormat="false" ht="15" hidden="false" customHeight="false" outlineLevel="0" collapsed="false">
      <c r="A833" s="6" t="n">
        <v>308903</v>
      </c>
      <c r="B833" s="6" t="s">
        <v>1277</v>
      </c>
      <c r="C833" s="6" t="s">
        <v>951</v>
      </c>
      <c r="D833" s="6" t="s">
        <v>34</v>
      </c>
      <c r="E833" s="6" t="s">
        <v>35</v>
      </c>
      <c r="F833" s="6" t="n">
        <v>12.89719</v>
      </c>
      <c r="G833" s="6" t="n">
        <v>77.57071</v>
      </c>
      <c r="H833" s="6" t="n">
        <v>1</v>
      </c>
      <c r="I833" s="6" t="n">
        <v>120</v>
      </c>
      <c r="J833" s="6" t="s">
        <v>39</v>
      </c>
      <c r="K833" s="7" t="b">
        <f aca="false">TRUE()</f>
        <v>1</v>
      </c>
    </row>
    <row r="834" customFormat="false" ht="15" hidden="false" customHeight="false" outlineLevel="0" collapsed="false">
      <c r="A834" s="6" t="n">
        <v>308902</v>
      </c>
      <c r="B834" s="6" t="s">
        <v>1278</v>
      </c>
      <c r="C834" s="6" t="s">
        <v>1131</v>
      </c>
      <c r="D834" s="6" t="s">
        <v>34</v>
      </c>
      <c r="E834" s="6" t="s">
        <v>35</v>
      </c>
      <c r="F834" s="6" t="n">
        <v>13.23897</v>
      </c>
      <c r="G834" s="6" t="n">
        <v>77.72394</v>
      </c>
      <c r="H834" s="6" t="n">
        <v>1</v>
      </c>
      <c r="I834" s="6" t="n">
        <v>120</v>
      </c>
      <c r="J834" s="6" t="s">
        <v>39</v>
      </c>
      <c r="K834" s="7" t="b">
        <f aca="false">TRUE()</f>
        <v>1</v>
      </c>
    </row>
    <row r="835" customFormat="false" ht="15" hidden="false" customHeight="false" outlineLevel="0" collapsed="false">
      <c r="A835" s="6" t="n">
        <v>308901</v>
      </c>
      <c r="B835" s="6" t="s">
        <v>1279</v>
      </c>
      <c r="C835" s="6" t="s">
        <v>951</v>
      </c>
      <c r="D835" s="6" t="s">
        <v>34</v>
      </c>
      <c r="E835" s="6" t="s">
        <v>35</v>
      </c>
      <c r="F835" s="6" t="n">
        <v>12.91293</v>
      </c>
      <c r="G835" s="6" t="n">
        <v>77.66542</v>
      </c>
      <c r="H835" s="6" t="n">
        <v>1</v>
      </c>
      <c r="I835" s="6" t="n">
        <v>120</v>
      </c>
      <c r="J835" s="6" t="s">
        <v>39</v>
      </c>
      <c r="K835" s="7" t="b">
        <f aca="false">TRUE()</f>
        <v>1</v>
      </c>
    </row>
    <row r="836" customFormat="false" ht="15" hidden="false" customHeight="false" outlineLevel="0" collapsed="false">
      <c r="A836" s="6" t="n">
        <v>308900</v>
      </c>
      <c r="B836" s="6" t="s">
        <v>1280</v>
      </c>
      <c r="C836" s="6" t="s">
        <v>951</v>
      </c>
      <c r="D836" s="6" t="s">
        <v>34</v>
      </c>
      <c r="E836" s="6" t="s">
        <v>35</v>
      </c>
      <c r="F836" s="6" t="n">
        <v>12.94285</v>
      </c>
      <c r="G836" s="6" t="n">
        <v>77.69782</v>
      </c>
      <c r="H836" s="6" t="n">
        <v>1</v>
      </c>
      <c r="I836" s="6" t="n">
        <v>120</v>
      </c>
      <c r="J836" s="6" t="s">
        <v>39</v>
      </c>
      <c r="K836" s="7" t="b">
        <f aca="false">TRUE()</f>
        <v>1</v>
      </c>
    </row>
    <row r="837" customFormat="false" ht="15" hidden="false" customHeight="false" outlineLevel="0" collapsed="false">
      <c r="A837" s="6" t="n">
        <v>308899</v>
      </c>
      <c r="B837" s="6" t="s">
        <v>1281</v>
      </c>
      <c r="C837" s="6" t="s">
        <v>951</v>
      </c>
      <c r="D837" s="6" t="s">
        <v>34</v>
      </c>
      <c r="E837" s="6" t="s">
        <v>35</v>
      </c>
      <c r="F837" s="6" t="n">
        <v>12.94269</v>
      </c>
      <c r="G837" s="6" t="n">
        <v>77.69235</v>
      </c>
      <c r="H837" s="6" t="n">
        <v>1</v>
      </c>
      <c r="I837" s="6" t="n">
        <v>30</v>
      </c>
      <c r="J837" s="6" t="s">
        <v>36</v>
      </c>
      <c r="K837" s="7" t="b">
        <f aca="false">FALSE()</f>
        <v>0</v>
      </c>
    </row>
    <row r="838" customFormat="false" ht="15" hidden="false" customHeight="false" outlineLevel="0" collapsed="false">
      <c r="A838" s="6" t="n">
        <v>308898</v>
      </c>
      <c r="B838" s="6" t="s">
        <v>1282</v>
      </c>
      <c r="C838" s="6" t="s">
        <v>951</v>
      </c>
      <c r="D838" s="6" t="s">
        <v>34</v>
      </c>
      <c r="E838" s="6" t="s">
        <v>35</v>
      </c>
      <c r="F838" s="6" t="n">
        <v>12.9717</v>
      </c>
      <c r="G838" s="6" t="n">
        <v>77.7075</v>
      </c>
      <c r="H838" s="6" t="n">
        <v>1</v>
      </c>
      <c r="I838" s="6" t="n">
        <v>30</v>
      </c>
      <c r="J838" s="6" t="s">
        <v>36</v>
      </c>
      <c r="K838" s="7" t="b">
        <f aca="false">FALSE()</f>
        <v>0</v>
      </c>
    </row>
    <row r="839" customFormat="false" ht="15" hidden="false" customHeight="false" outlineLevel="0" collapsed="false">
      <c r="A839" s="6" t="n">
        <v>308897</v>
      </c>
      <c r="B839" s="6" t="s">
        <v>1283</v>
      </c>
      <c r="C839" s="6" t="s">
        <v>951</v>
      </c>
      <c r="D839" s="6" t="s">
        <v>34</v>
      </c>
      <c r="E839" s="6" t="s">
        <v>35</v>
      </c>
      <c r="F839" s="6" t="n">
        <v>12.992</v>
      </c>
      <c r="G839" s="6" t="n">
        <v>77.7299</v>
      </c>
      <c r="H839" s="6" t="n">
        <v>1</v>
      </c>
      <c r="I839" s="6" t="n">
        <v>30</v>
      </c>
      <c r="J839" s="6" t="s">
        <v>36</v>
      </c>
      <c r="K839" s="7" t="b">
        <f aca="false">FALSE()</f>
        <v>0</v>
      </c>
    </row>
    <row r="840" customFormat="false" ht="15" hidden="false" customHeight="false" outlineLevel="0" collapsed="false">
      <c r="A840" s="6" t="n">
        <v>308896</v>
      </c>
      <c r="B840" s="6" t="s">
        <v>1284</v>
      </c>
      <c r="C840" s="6" t="s">
        <v>951</v>
      </c>
      <c r="D840" s="6" t="s">
        <v>34</v>
      </c>
      <c r="E840" s="6" t="s">
        <v>35</v>
      </c>
      <c r="F840" s="6" t="n">
        <v>12.982973</v>
      </c>
      <c r="G840" s="6" t="n">
        <v>77.708086</v>
      </c>
      <c r="H840" s="6" t="n">
        <v>1</v>
      </c>
      <c r="I840" s="6" t="n">
        <v>120</v>
      </c>
      <c r="J840" s="6" t="s">
        <v>39</v>
      </c>
      <c r="K840" s="7" t="b">
        <f aca="false">TRUE()</f>
        <v>1</v>
      </c>
    </row>
    <row r="841" customFormat="false" ht="15" hidden="false" customHeight="false" outlineLevel="0" collapsed="false">
      <c r="A841" s="6" t="n">
        <v>308895</v>
      </c>
      <c r="B841" s="6" t="s">
        <v>1285</v>
      </c>
      <c r="C841" s="6" t="s">
        <v>1286</v>
      </c>
      <c r="D841" s="6" t="s">
        <v>34</v>
      </c>
      <c r="E841" s="6" t="s">
        <v>35</v>
      </c>
      <c r="F841" s="6" t="n">
        <v>13.04041</v>
      </c>
      <c r="G841" s="6" t="n">
        <v>77.74131</v>
      </c>
      <c r="H841" s="6" t="n">
        <v>1</v>
      </c>
      <c r="I841" s="6" t="n">
        <v>120</v>
      </c>
      <c r="J841" s="6" t="s">
        <v>39</v>
      </c>
      <c r="K841" s="7" t="b">
        <f aca="false">TRUE()</f>
        <v>1</v>
      </c>
    </row>
    <row r="842" customFormat="false" ht="15" hidden="false" customHeight="false" outlineLevel="0" collapsed="false">
      <c r="A842" s="6" t="n">
        <v>308894</v>
      </c>
      <c r="B842" s="6" t="s">
        <v>1287</v>
      </c>
      <c r="C842" s="6" t="s">
        <v>946</v>
      </c>
      <c r="D842" s="6" t="s">
        <v>34</v>
      </c>
      <c r="E842" s="6" t="s">
        <v>35</v>
      </c>
      <c r="F842" s="6" t="n">
        <v>13.06226</v>
      </c>
      <c r="G842" s="6" t="n">
        <v>77.74273</v>
      </c>
      <c r="H842" s="6" t="n">
        <v>1</v>
      </c>
      <c r="I842" s="6" t="n">
        <v>120</v>
      </c>
      <c r="J842" s="6" t="s">
        <v>39</v>
      </c>
      <c r="K842" s="7" t="b">
        <f aca="false">TRUE()</f>
        <v>1</v>
      </c>
    </row>
    <row r="843" customFormat="false" ht="15" hidden="false" customHeight="false" outlineLevel="0" collapsed="false">
      <c r="A843" s="6" t="n">
        <v>308893</v>
      </c>
      <c r="B843" s="6" t="s">
        <v>1288</v>
      </c>
      <c r="C843" s="6" t="s">
        <v>951</v>
      </c>
      <c r="D843" s="6" t="s">
        <v>34</v>
      </c>
      <c r="E843" s="6" t="s">
        <v>35</v>
      </c>
      <c r="F843" s="6" t="n">
        <v>13.15446</v>
      </c>
      <c r="G843" s="6" t="n">
        <v>77.70277</v>
      </c>
      <c r="H843" s="6" t="n">
        <v>1</v>
      </c>
      <c r="I843" s="6" t="n">
        <v>30</v>
      </c>
      <c r="J843" s="6" t="s">
        <v>36</v>
      </c>
      <c r="K843" s="7" t="b">
        <f aca="false">FALSE()</f>
        <v>0</v>
      </c>
    </row>
    <row r="844" customFormat="false" ht="15" hidden="false" customHeight="false" outlineLevel="0" collapsed="false">
      <c r="A844" s="6" t="n">
        <v>308891</v>
      </c>
      <c r="B844" s="6" t="s">
        <v>1289</v>
      </c>
      <c r="C844" s="6" t="s">
        <v>951</v>
      </c>
      <c r="D844" s="6" t="s">
        <v>34</v>
      </c>
      <c r="E844" s="6" t="s">
        <v>35</v>
      </c>
      <c r="F844" s="6" t="n">
        <v>12.9923</v>
      </c>
      <c r="G844" s="6" t="n">
        <v>77.65942</v>
      </c>
      <c r="H844" s="6" t="n">
        <v>1</v>
      </c>
      <c r="I844" s="6" t="n">
        <v>120</v>
      </c>
      <c r="J844" s="6" t="s">
        <v>39</v>
      </c>
      <c r="K844" s="7" t="b">
        <f aca="false">TRUE()</f>
        <v>1</v>
      </c>
    </row>
    <row r="845" customFormat="false" ht="15" hidden="false" customHeight="false" outlineLevel="0" collapsed="false">
      <c r="A845" s="6" t="n">
        <v>308890</v>
      </c>
      <c r="B845" s="6" t="s">
        <v>1290</v>
      </c>
      <c r="C845" s="6" t="s">
        <v>951</v>
      </c>
      <c r="D845" s="6" t="s">
        <v>34</v>
      </c>
      <c r="E845" s="6" t="s">
        <v>35</v>
      </c>
      <c r="F845" s="6" t="n">
        <v>13.02234</v>
      </c>
      <c r="G845" s="6" t="n">
        <v>77.67867</v>
      </c>
      <c r="H845" s="6" t="n">
        <v>1</v>
      </c>
      <c r="I845" s="6" t="n">
        <v>120</v>
      </c>
      <c r="J845" s="6" t="s">
        <v>39</v>
      </c>
      <c r="K845" s="7" t="b">
        <f aca="false">TRUE()</f>
        <v>1</v>
      </c>
    </row>
    <row r="846" customFormat="false" ht="15" hidden="false" customHeight="false" outlineLevel="0" collapsed="false">
      <c r="A846" s="6" t="n">
        <v>308889</v>
      </c>
      <c r="B846" s="6" t="s">
        <v>1291</v>
      </c>
      <c r="C846" s="6" t="s">
        <v>951</v>
      </c>
      <c r="D846" s="6" t="s">
        <v>34</v>
      </c>
      <c r="E846" s="6" t="s">
        <v>35</v>
      </c>
      <c r="F846" s="6" t="n">
        <v>13.05367</v>
      </c>
      <c r="G846" s="6" t="n">
        <v>77.63073</v>
      </c>
      <c r="H846" s="6" t="n">
        <v>1</v>
      </c>
      <c r="I846" s="6" t="n">
        <v>120</v>
      </c>
      <c r="J846" s="6" t="s">
        <v>39</v>
      </c>
      <c r="K846" s="7" t="b">
        <f aca="false">TRUE()</f>
        <v>1</v>
      </c>
    </row>
    <row r="847" customFormat="false" ht="15" hidden="false" customHeight="false" outlineLevel="0" collapsed="false">
      <c r="A847" s="6" t="n">
        <v>308888</v>
      </c>
      <c r="B847" s="6" t="s">
        <v>1292</v>
      </c>
      <c r="C847" s="6" t="s">
        <v>951</v>
      </c>
      <c r="D847" s="6" t="s">
        <v>34</v>
      </c>
      <c r="E847" s="6" t="s">
        <v>35</v>
      </c>
      <c r="F847" s="6" t="n">
        <v>13.07536</v>
      </c>
      <c r="G847" s="6" t="n">
        <v>77.6524</v>
      </c>
      <c r="H847" s="6" t="n">
        <v>4</v>
      </c>
      <c r="I847" s="6" t="n">
        <v>120</v>
      </c>
      <c r="J847" s="6" t="s">
        <v>39</v>
      </c>
      <c r="K847" s="7" t="b">
        <f aca="false">TRUE()</f>
        <v>1</v>
      </c>
    </row>
    <row r="848" customFormat="false" ht="15" hidden="false" customHeight="false" outlineLevel="0" collapsed="false">
      <c r="A848" s="6" t="n">
        <v>308886</v>
      </c>
      <c r="B848" s="6" t="s">
        <v>1293</v>
      </c>
      <c r="C848" s="6" t="s">
        <v>951</v>
      </c>
      <c r="D848" s="6" t="s">
        <v>34</v>
      </c>
      <c r="E848" s="6" t="s">
        <v>35</v>
      </c>
      <c r="F848" s="6" t="n">
        <v>13.1043</v>
      </c>
      <c r="G848" s="6" t="n">
        <v>77.60448</v>
      </c>
      <c r="H848" s="6" t="n">
        <v>1</v>
      </c>
      <c r="I848" s="6" t="n">
        <v>120</v>
      </c>
      <c r="J848" s="6" t="s">
        <v>39</v>
      </c>
      <c r="K848" s="7" t="b">
        <f aca="false">TRUE()</f>
        <v>1</v>
      </c>
    </row>
    <row r="849" customFormat="false" ht="15" hidden="false" customHeight="false" outlineLevel="0" collapsed="false">
      <c r="A849" s="6" t="n">
        <v>308885</v>
      </c>
      <c r="B849" s="6" t="s">
        <v>1294</v>
      </c>
      <c r="C849" s="6" t="s">
        <v>951</v>
      </c>
      <c r="D849" s="6" t="s">
        <v>34</v>
      </c>
      <c r="E849" s="6" t="s">
        <v>35</v>
      </c>
      <c r="F849" s="6" t="n">
        <v>13.098</v>
      </c>
      <c r="G849" s="6" t="n">
        <v>77.5658</v>
      </c>
      <c r="H849" s="6" t="n">
        <v>1</v>
      </c>
      <c r="I849" s="6" t="n">
        <v>120</v>
      </c>
      <c r="J849" s="6" t="s">
        <v>39</v>
      </c>
      <c r="K849" s="7" t="b">
        <f aca="false">TRUE()</f>
        <v>1</v>
      </c>
    </row>
    <row r="850" customFormat="false" ht="15" hidden="false" customHeight="false" outlineLevel="0" collapsed="false">
      <c r="A850" s="6" t="n">
        <v>308883</v>
      </c>
      <c r="B850" s="6" t="s">
        <v>1295</v>
      </c>
      <c r="C850" s="6" t="s">
        <v>368</v>
      </c>
      <c r="D850" s="6" t="s">
        <v>34</v>
      </c>
      <c r="E850" s="6" t="s">
        <v>35</v>
      </c>
      <c r="F850" s="6" t="n">
        <v>12.3257</v>
      </c>
      <c r="G850" s="6" t="n">
        <v>76.61038</v>
      </c>
      <c r="H850" s="6" t="n">
        <v>1</v>
      </c>
      <c r="I850" s="6" t="n">
        <v>60</v>
      </c>
      <c r="J850" s="6" t="s">
        <v>39</v>
      </c>
      <c r="K850" s="7" t="b">
        <f aca="false">TRUE()</f>
        <v>1</v>
      </c>
    </row>
    <row r="851" customFormat="false" ht="15" hidden="false" customHeight="false" outlineLevel="0" collapsed="false">
      <c r="A851" s="6" t="n">
        <v>308882</v>
      </c>
      <c r="B851" s="6" t="s">
        <v>1296</v>
      </c>
      <c r="C851" s="6" t="s">
        <v>1297</v>
      </c>
      <c r="D851" s="6" t="s">
        <v>34</v>
      </c>
      <c r="E851" s="6" t="s">
        <v>35</v>
      </c>
      <c r="F851" s="6" t="n">
        <v>12.24523</v>
      </c>
      <c r="G851" s="6" t="n">
        <v>76.65978</v>
      </c>
      <c r="H851" s="6" t="n">
        <v>1</v>
      </c>
      <c r="I851" s="6" t="n">
        <v>60</v>
      </c>
      <c r="J851" s="6" t="s">
        <v>39</v>
      </c>
      <c r="K851" s="7" t="b">
        <f aca="false">TRUE()</f>
        <v>1</v>
      </c>
    </row>
    <row r="852" customFormat="false" ht="15" hidden="false" customHeight="false" outlineLevel="0" collapsed="false">
      <c r="A852" s="6" t="n">
        <v>308881</v>
      </c>
      <c r="B852" s="6" t="s">
        <v>1298</v>
      </c>
      <c r="C852" s="6" t="s">
        <v>368</v>
      </c>
      <c r="D852" s="6" t="s">
        <v>34</v>
      </c>
      <c r="E852" s="6" t="s">
        <v>35</v>
      </c>
      <c r="F852" s="6" t="n">
        <v>12.3279</v>
      </c>
      <c r="G852" s="6" t="n">
        <v>76.60826</v>
      </c>
      <c r="H852" s="6" t="n">
        <v>1</v>
      </c>
      <c r="I852" s="6" t="n">
        <v>120</v>
      </c>
      <c r="J852" s="6" t="s">
        <v>39</v>
      </c>
      <c r="K852" s="7" t="b">
        <f aca="false">TRUE()</f>
        <v>1</v>
      </c>
    </row>
    <row r="853" customFormat="false" ht="15" hidden="false" customHeight="false" outlineLevel="0" collapsed="false">
      <c r="A853" s="6" t="n">
        <v>308879</v>
      </c>
      <c r="B853" s="6" t="s">
        <v>1299</v>
      </c>
      <c r="C853" s="6" t="s">
        <v>1300</v>
      </c>
      <c r="D853" s="6" t="s">
        <v>34</v>
      </c>
      <c r="E853" s="6" t="s">
        <v>35</v>
      </c>
      <c r="F853" s="6" t="n">
        <v>13.13885</v>
      </c>
      <c r="G853" s="6" t="n">
        <v>78.20935</v>
      </c>
      <c r="H853" s="6" t="n">
        <v>2</v>
      </c>
      <c r="I853" s="6" t="n">
        <v>120</v>
      </c>
      <c r="J853" s="6" t="s">
        <v>39</v>
      </c>
      <c r="K853" s="7" t="b">
        <f aca="false">TRUE()</f>
        <v>1</v>
      </c>
    </row>
    <row r="854" customFormat="false" ht="15" hidden="false" customHeight="false" outlineLevel="0" collapsed="false">
      <c r="A854" s="6" t="n">
        <v>308878</v>
      </c>
      <c r="B854" s="6" t="s">
        <v>1301</v>
      </c>
      <c r="C854" s="6" t="s">
        <v>1302</v>
      </c>
      <c r="D854" s="6" t="s">
        <v>34</v>
      </c>
      <c r="E854" s="6" t="s">
        <v>35</v>
      </c>
      <c r="F854" s="6" t="n">
        <v>13.13522</v>
      </c>
      <c r="G854" s="6" t="n">
        <v>78.18786</v>
      </c>
      <c r="H854" s="6" t="n">
        <v>1</v>
      </c>
      <c r="I854" s="6" t="n">
        <v>60</v>
      </c>
      <c r="J854" s="6" t="s">
        <v>39</v>
      </c>
      <c r="K854" s="7" t="b">
        <f aca="false">TRUE()</f>
        <v>1</v>
      </c>
    </row>
    <row r="855" customFormat="false" ht="15" hidden="false" customHeight="false" outlineLevel="0" collapsed="false">
      <c r="A855" s="6" t="n">
        <v>308877</v>
      </c>
      <c r="B855" s="6" t="s">
        <v>1303</v>
      </c>
      <c r="C855" s="6" t="s">
        <v>1304</v>
      </c>
      <c r="D855" s="6" t="s">
        <v>34</v>
      </c>
      <c r="E855" s="6" t="s">
        <v>35</v>
      </c>
      <c r="F855" s="6" t="n">
        <v>14.17052</v>
      </c>
      <c r="G855" s="6" t="n">
        <v>76.47221</v>
      </c>
      <c r="H855" s="6" t="n">
        <v>1</v>
      </c>
      <c r="I855" s="6" t="n">
        <v>120</v>
      </c>
      <c r="J855" s="6" t="s">
        <v>39</v>
      </c>
      <c r="K855" s="7" t="b">
        <f aca="false">TRUE()</f>
        <v>1</v>
      </c>
    </row>
    <row r="856" customFormat="false" ht="15" hidden="false" customHeight="false" outlineLevel="0" collapsed="false">
      <c r="A856" s="6" t="n">
        <v>308876</v>
      </c>
      <c r="B856" s="6" t="s">
        <v>1305</v>
      </c>
      <c r="C856" s="6" t="s">
        <v>1306</v>
      </c>
      <c r="D856" s="6" t="s">
        <v>34</v>
      </c>
      <c r="E856" s="6" t="s">
        <v>35</v>
      </c>
      <c r="F856" s="6" t="n">
        <v>13.75492</v>
      </c>
      <c r="G856" s="6" t="n">
        <v>76.88246</v>
      </c>
      <c r="H856" s="6" t="n">
        <v>10</v>
      </c>
      <c r="I856" s="6" t="n">
        <v>160</v>
      </c>
      <c r="J856" s="6" t="s">
        <v>748</v>
      </c>
      <c r="K856" s="7" t="b">
        <f aca="false">TRUE()</f>
        <v>1</v>
      </c>
    </row>
    <row r="857" customFormat="false" ht="15" hidden="false" customHeight="false" outlineLevel="0" collapsed="false">
      <c r="A857" s="6" t="n">
        <v>308875</v>
      </c>
      <c r="B857" s="6" t="s">
        <v>1307</v>
      </c>
      <c r="C857" s="6" t="s">
        <v>1308</v>
      </c>
      <c r="D857" s="6" t="s">
        <v>34</v>
      </c>
      <c r="E857" s="6" t="s">
        <v>35</v>
      </c>
      <c r="F857" s="6" t="n">
        <v>13.79204</v>
      </c>
      <c r="G857" s="6" t="n">
        <v>77.76632</v>
      </c>
      <c r="H857" s="6" t="n">
        <v>2</v>
      </c>
      <c r="I857" s="6" t="n">
        <v>240</v>
      </c>
      <c r="J857" s="6" t="s">
        <v>748</v>
      </c>
      <c r="K857" s="7" t="b">
        <f aca="false">TRUE()</f>
        <v>1</v>
      </c>
    </row>
    <row r="858" customFormat="false" ht="15" hidden="false" customHeight="false" outlineLevel="0" collapsed="false">
      <c r="A858" s="6" t="n">
        <v>308874</v>
      </c>
      <c r="B858" s="6" t="s">
        <v>1309</v>
      </c>
      <c r="C858" s="6" t="s">
        <v>1310</v>
      </c>
      <c r="D858" s="6" t="s">
        <v>34</v>
      </c>
      <c r="E858" s="6" t="s">
        <v>35</v>
      </c>
      <c r="F858" s="6" t="n">
        <v>13.28586</v>
      </c>
      <c r="G858" s="6" t="n">
        <v>77.18248</v>
      </c>
      <c r="H858" s="6" t="n">
        <v>1</v>
      </c>
      <c r="I858" s="6" t="n">
        <v>24</v>
      </c>
      <c r="J858" s="6" t="s">
        <v>36</v>
      </c>
      <c r="K858" s="7" t="b">
        <f aca="false">FALSE()</f>
        <v>0</v>
      </c>
    </row>
    <row r="859" customFormat="false" ht="15" hidden="false" customHeight="false" outlineLevel="0" collapsed="false">
      <c r="A859" s="6" t="n">
        <v>308873</v>
      </c>
      <c r="B859" s="6" t="s">
        <v>1311</v>
      </c>
      <c r="C859" s="6" t="s">
        <v>1312</v>
      </c>
      <c r="D859" s="6" t="s">
        <v>34</v>
      </c>
      <c r="E859" s="6" t="s">
        <v>35</v>
      </c>
      <c r="F859" s="6" t="n">
        <v>12.13427</v>
      </c>
      <c r="G859" s="6" t="n">
        <v>77.07437</v>
      </c>
      <c r="H859" s="6" t="n">
        <v>1</v>
      </c>
      <c r="I859" s="6" t="n">
        <v>60</v>
      </c>
      <c r="J859" s="6" t="s">
        <v>39</v>
      </c>
      <c r="K859" s="7" t="b">
        <f aca="false">TRUE()</f>
        <v>1</v>
      </c>
    </row>
    <row r="860" customFormat="false" ht="15" hidden="false" customHeight="false" outlineLevel="0" collapsed="false">
      <c r="A860" s="6" t="n">
        <v>308872</v>
      </c>
      <c r="B860" s="6" t="s">
        <v>1313</v>
      </c>
      <c r="C860" s="6" t="s">
        <v>1314</v>
      </c>
      <c r="D860" s="6" t="s">
        <v>34</v>
      </c>
      <c r="E860" s="6" t="s">
        <v>35</v>
      </c>
      <c r="F860" s="6" t="n">
        <v>13.06385</v>
      </c>
      <c r="G860" s="6" t="n">
        <v>74.79791</v>
      </c>
      <c r="H860" s="6" t="n">
        <v>1</v>
      </c>
      <c r="I860" s="6" t="n">
        <v>60</v>
      </c>
      <c r="J860" s="6" t="s">
        <v>39</v>
      </c>
      <c r="K860" s="7" t="b">
        <f aca="false">TRUE()</f>
        <v>1</v>
      </c>
    </row>
    <row r="861" customFormat="false" ht="15" hidden="false" customHeight="false" outlineLevel="0" collapsed="false">
      <c r="A861" s="6" t="n">
        <v>308871</v>
      </c>
      <c r="B861" s="6" t="s">
        <v>1315</v>
      </c>
      <c r="C861" s="6" t="s">
        <v>1316</v>
      </c>
      <c r="D861" s="6" t="s">
        <v>34</v>
      </c>
      <c r="E861" s="6" t="s">
        <v>35</v>
      </c>
      <c r="F861" s="6" t="n">
        <v>12.20992</v>
      </c>
      <c r="G861" s="6" t="n">
        <v>75.73586</v>
      </c>
      <c r="H861" s="6" t="n">
        <v>2</v>
      </c>
      <c r="I861" s="6" t="n">
        <v>22</v>
      </c>
      <c r="J861" s="6" t="s">
        <v>36</v>
      </c>
      <c r="K861" s="7" t="b">
        <f aca="false">FALSE()</f>
        <v>0</v>
      </c>
    </row>
    <row r="862" customFormat="false" ht="15" hidden="false" customHeight="false" outlineLevel="0" collapsed="false">
      <c r="A862" s="6" t="n">
        <v>308862</v>
      </c>
      <c r="B862" s="6" t="s">
        <v>1317</v>
      </c>
      <c r="C862" s="6" t="s">
        <v>1318</v>
      </c>
      <c r="D862" s="6" t="s">
        <v>34</v>
      </c>
      <c r="E862" s="6" t="s">
        <v>35</v>
      </c>
      <c r="F862" s="6" t="n">
        <v>13.34939</v>
      </c>
      <c r="G862" s="6" t="n">
        <v>74.73729</v>
      </c>
      <c r="H862" s="6" t="n">
        <v>1</v>
      </c>
      <c r="I862" s="6" t="n">
        <v>30</v>
      </c>
      <c r="J862" s="6" t="s">
        <v>36</v>
      </c>
      <c r="K862" s="7" t="b">
        <f aca="false">FALSE()</f>
        <v>0</v>
      </c>
    </row>
    <row r="863" customFormat="false" ht="15" hidden="false" customHeight="false" outlineLevel="0" collapsed="false">
      <c r="A863" s="6" t="n">
        <v>308861</v>
      </c>
      <c r="B863" s="6" t="s">
        <v>1319</v>
      </c>
      <c r="C863" s="6" t="s">
        <v>1318</v>
      </c>
      <c r="D863" s="6" t="s">
        <v>34</v>
      </c>
      <c r="E863" s="6" t="s">
        <v>35</v>
      </c>
      <c r="F863" s="6" t="n">
        <v>13.36063</v>
      </c>
      <c r="G863" s="6" t="n">
        <v>74.69908</v>
      </c>
      <c r="H863" s="6" t="n">
        <v>1</v>
      </c>
      <c r="I863" s="6" t="n">
        <v>7</v>
      </c>
      <c r="J863" s="6" t="s">
        <v>126</v>
      </c>
      <c r="K863" s="7" t="b">
        <f aca="false">FALSE()</f>
        <v>0</v>
      </c>
    </row>
    <row r="864" customFormat="false" ht="15" hidden="false" customHeight="false" outlineLevel="0" collapsed="false">
      <c r="A864" s="6" t="n">
        <v>308860</v>
      </c>
      <c r="B864" s="6" t="s">
        <v>1320</v>
      </c>
      <c r="C864" s="6" t="s">
        <v>1318</v>
      </c>
      <c r="D864" s="6" t="s">
        <v>34</v>
      </c>
      <c r="E864" s="6" t="s">
        <v>35</v>
      </c>
      <c r="F864" s="6" t="n">
        <v>13.35205</v>
      </c>
      <c r="G864" s="6" t="n">
        <v>74.70382</v>
      </c>
      <c r="H864" s="6" t="n">
        <v>1</v>
      </c>
      <c r="I864" s="6" t="n">
        <v>60</v>
      </c>
      <c r="J864" s="6" t="s">
        <v>39</v>
      </c>
      <c r="K864" s="7" t="b">
        <f aca="false">TRUE()</f>
        <v>1</v>
      </c>
    </row>
    <row r="865" customFormat="false" ht="15" hidden="false" customHeight="false" outlineLevel="0" collapsed="false">
      <c r="A865" s="6" t="n">
        <v>308859</v>
      </c>
      <c r="B865" s="6" t="s">
        <v>1321</v>
      </c>
      <c r="C865" s="6" t="s">
        <v>1318</v>
      </c>
      <c r="D865" s="6" t="s">
        <v>34</v>
      </c>
      <c r="E865" s="6" t="s">
        <v>35</v>
      </c>
      <c r="F865" s="6" t="n">
        <v>13.29373</v>
      </c>
      <c r="G865" s="6" t="n">
        <v>74.74513</v>
      </c>
      <c r="H865" s="6" t="n">
        <v>1</v>
      </c>
      <c r="I865" s="6" t="n">
        <v>30</v>
      </c>
      <c r="J865" s="6" t="s">
        <v>36</v>
      </c>
      <c r="K865" s="7" t="b">
        <f aca="false">FALSE()</f>
        <v>0</v>
      </c>
    </row>
    <row r="866" customFormat="false" ht="15" hidden="false" customHeight="false" outlineLevel="0" collapsed="false">
      <c r="A866" s="6" t="n">
        <v>308837</v>
      </c>
      <c r="B866" s="6" t="s">
        <v>1322</v>
      </c>
      <c r="C866" s="6" t="s">
        <v>951</v>
      </c>
      <c r="D866" s="6" t="s">
        <v>34</v>
      </c>
      <c r="E866" s="6" t="s">
        <v>35</v>
      </c>
      <c r="F866" s="6" t="n">
        <v>12.838006</v>
      </c>
      <c r="G866" s="6" t="n">
        <v>77.402104</v>
      </c>
      <c r="H866" s="6" t="n">
        <v>4</v>
      </c>
      <c r="I866" s="6" t="n">
        <v>60</v>
      </c>
      <c r="J866" s="6" t="s">
        <v>39</v>
      </c>
      <c r="K866" s="7" t="b">
        <f aca="false">TRUE()</f>
        <v>1</v>
      </c>
    </row>
    <row r="867" customFormat="false" ht="15" hidden="false" customHeight="false" outlineLevel="0" collapsed="false">
      <c r="A867" s="6" t="n">
        <v>308819</v>
      </c>
      <c r="B867" s="6" t="s">
        <v>1323</v>
      </c>
      <c r="C867" s="6" t="s">
        <v>1324</v>
      </c>
      <c r="D867" s="6" t="s">
        <v>34</v>
      </c>
      <c r="E867" s="6" t="s">
        <v>35</v>
      </c>
      <c r="F867" s="6" t="n">
        <v>12.14124</v>
      </c>
      <c r="G867" s="6" t="n">
        <v>76.50854</v>
      </c>
      <c r="H867" s="6" t="n">
        <v>1</v>
      </c>
      <c r="I867" s="6" t="n">
        <v>30</v>
      </c>
      <c r="J867" s="6" t="s">
        <v>36</v>
      </c>
      <c r="K867" s="7" t="b">
        <f aca="false">FALSE()</f>
        <v>0</v>
      </c>
    </row>
    <row r="868" customFormat="false" ht="15" hidden="false" customHeight="false" outlineLevel="0" collapsed="false">
      <c r="A868" s="6" t="n">
        <v>308818</v>
      </c>
      <c r="B868" s="6" t="s">
        <v>1325</v>
      </c>
      <c r="C868" s="6" t="s">
        <v>368</v>
      </c>
      <c r="D868" s="6" t="s">
        <v>34</v>
      </c>
      <c r="E868" s="6" t="s">
        <v>35</v>
      </c>
      <c r="F868" s="6" t="n">
        <v>12.32742</v>
      </c>
      <c r="G868" s="6" t="n">
        <v>76.60886</v>
      </c>
      <c r="H868" s="6" t="n">
        <v>1</v>
      </c>
      <c r="I868" s="6" t="n">
        <v>60</v>
      </c>
      <c r="J868" s="6" t="s">
        <v>39</v>
      </c>
      <c r="K868" s="7" t="b">
        <f aca="false">TRUE()</f>
        <v>1</v>
      </c>
    </row>
    <row r="869" customFormat="false" ht="15" hidden="false" customHeight="false" outlineLevel="0" collapsed="false">
      <c r="A869" s="6" t="n">
        <v>308817</v>
      </c>
      <c r="B869" s="6" t="s">
        <v>1326</v>
      </c>
      <c r="C869" s="6" t="s">
        <v>368</v>
      </c>
      <c r="D869" s="6" t="s">
        <v>34</v>
      </c>
      <c r="E869" s="6" t="s">
        <v>35</v>
      </c>
      <c r="F869" s="6" t="n">
        <v>12.35354</v>
      </c>
      <c r="G869" s="6" t="n">
        <v>76.61858</v>
      </c>
      <c r="H869" s="6" t="n">
        <v>1</v>
      </c>
      <c r="I869" s="6" t="n">
        <v>30</v>
      </c>
      <c r="J869" s="6" t="s">
        <v>36</v>
      </c>
      <c r="K869" s="7" t="b">
        <f aca="false">FALSE()</f>
        <v>0</v>
      </c>
    </row>
    <row r="870" customFormat="false" ht="15" hidden="false" customHeight="false" outlineLevel="0" collapsed="false">
      <c r="A870" s="6" t="n">
        <v>308816</v>
      </c>
      <c r="B870" s="6" t="s">
        <v>1327</v>
      </c>
      <c r="C870" s="6" t="s">
        <v>368</v>
      </c>
      <c r="D870" s="6" t="s">
        <v>34</v>
      </c>
      <c r="E870" s="6" t="s">
        <v>35</v>
      </c>
      <c r="F870" s="6" t="n">
        <v>12.35753</v>
      </c>
      <c r="G870" s="6" t="n">
        <v>76.62834</v>
      </c>
      <c r="H870" s="6" t="n">
        <v>1</v>
      </c>
      <c r="I870" s="6" t="n">
        <v>60</v>
      </c>
      <c r="J870" s="6" t="s">
        <v>39</v>
      </c>
      <c r="K870" s="7" t="b">
        <f aca="false">TRUE()</f>
        <v>1</v>
      </c>
    </row>
    <row r="871" customFormat="false" ht="15" hidden="false" customHeight="false" outlineLevel="0" collapsed="false">
      <c r="A871" s="6" t="n">
        <v>308815</v>
      </c>
      <c r="B871" s="6" t="s">
        <v>1328</v>
      </c>
      <c r="C871" s="6" t="s">
        <v>368</v>
      </c>
      <c r="D871" s="6" t="s">
        <v>34</v>
      </c>
      <c r="E871" s="6" t="s">
        <v>35</v>
      </c>
      <c r="F871" s="6" t="n">
        <v>12.3307</v>
      </c>
      <c r="G871" s="6" t="n">
        <v>76.64479</v>
      </c>
      <c r="H871" s="6" t="n">
        <v>2</v>
      </c>
      <c r="I871" s="6" t="n">
        <v>120</v>
      </c>
      <c r="J871" s="6" t="s">
        <v>39</v>
      </c>
      <c r="K871" s="7" t="b">
        <f aca="false">TRUE()</f>
        <v>1</v>
      </c>
    </row>
    <row r="872" customFormat="false" ht="15" hidden="false" customHeight="false" outlineLevel="0" collapsed="false">
      <c r="A872" s="6" t="n">
        <v>308814</v>
      </c>
      <c r="B872" s="6" t="s">
        <v>1329</v>
      </c>
      <c r="C872" s="6" t="s">
        <v>368</v>
      </c>
      <c r="D872" s="6" t="s">
        <v>34</v>
      </c>
      <c r="E872" s="6" t="s">
        <v>35</v>
      </c>
      <c r="F872" s="6" t="n">
        <v>12.2977</v>
      </c>
      <c r="G872" s="6" t="n">
        <v>76.66446</v>
      </c>
      <c r="H872" s="6" t="n">
        <v>1</v>
      </c>
      <c r="I872" s="6" t="n">
        <v>60</v>
      </c>
      <c r="J872" s="6" t="s">
        <v>39</v>
      </c>
      <c r="K872" s="7" t="b">
        <f aca="false">TRUE()</f>
        <v>1</v>
      </c>
    </row>
    <row r="873" customFormat="false" ht="15" hidden="false" customHeight="false" outlineLevel="0" collapsed="false">
      <c r="A873" s="6" t="n">
        <v>308813</v>
      </c>
      <c r="B873" s="6" t="s">
        <v>1330</v>
      </c>
      <c r="C873" s="6" t="s">
        <v>951</v>
      </c>
      <c r="D873" s="6" t="s">
        <v>34</v>
      </c>
      <c r="E873" s="6" t="s">
        <v>35</v>
      </c>
      <c r="F873" s="6" t="n">
        <v>12.87479</v>
      </c>
      <c r="G873" s="6" t="n">
        <v>77.64694</v>
      </c>
      <c r="H873" s="6" t="n">
        <v>1</v>
      </c>
      <c r="I873" s="6" t="n">
        <v>7.4</v>
      </c>
      <c r="J873" s="6" t="s">
        <v>126</v>
      </c>
      <c r="K873" s="7" t="b">
        <f aca="false">FALSE()</f>
        <v>0</v>
      </c>
    </row>
    <row r="874" customFormat="false" ht="15" hidden="false" customHeight="false" outlineLevel="0" collapsed="false">
      <c r="A874" s="6" t="n">
        <v>308812</v>
      </c>
      <c r="B874" s="6" t="s">
        <v>1331</v>
      </c>
      <c r="C874" s="6" t="s">
        <v>951</v>
      </c>
      <c r="D874" s="6" t="s">
        <v>34</v>
      </c>
      <c r="E874" s="6" t="s">
        <v>35</v>
      </c>
      <c r="F874" s="6" t="n">
        <v>12.92542</v>
      </c>
      <c r="G874" s="6" t="n">
        <v>77.68788</v>
      </c>
      <c r="H874" s="6" t="n">
        <v>1</v>
      </c>
      <c r="I874" s="6" t="n">
        <v>50</v>
      </c>
      <c r="J874" s="6" t="s">
        <v>39</v>
      </c>
      <c r="K874" s="7" t="b">
        <f aca="false">TRUE()</f>
        <v>1</v>
      </c>
    </row>
    <row r="875" customFormat="false" ht="15" hidden="false" customHeight="false" outlineLevel="0" collapsed="false">
      <c r="A875" s="6" t="n">
        <v>308811</v>
      </c>
      <c r="B875" s="6" t="s">
        <v>1332</v>
      </c>
      <c r="C875" s="6" t="s">
        <v>951</v>
      </c>
      <c r="D875" s="6" t="s">
        <v>34</v>
      </c>
      <c r="E875" s="6" t="s">
        <v>35</v>
      </c>
      <c r="F875" s="6" t="n">
        <v>12.9299</v>
      </c>
      <c r="G875" s="6" t="n">
        <v>77.68317</v>
      </c>
      <c r="H875" s="6" t="n">
        <v>1</v>
      </c>
      <c r="I875" s="6" t="n">
        <v>22</v>
      </c>
      <c r="J875" s="6" t="s">
        <v>36</v>
      </c>
      <c r="K875" s="7" t="b">
        <f aca="false">FALSE()</f>
        <v>0</v>
      </c>
    </row>
    <row r="876" customFormat="false" ht="15" hidden="false" customHeight="false" outlineLevel="0" collapsed="false">
      <c r="A876" s="6" t="n">
        <v>308810</v>
      </c>
      <c r="B876" s="6" t="s">
        <v>1333</v>
      </c>
      <c r="C876" s="6" t="s">
        <v>951</v>
      </c>
      <c r="D876" s="6" t="s">
        <v>34</v>
      </c>
      <c r="E876" s="6" t="s">
        <v>35</v>
      </c>
      <c r="F876" s="6" t="n">
        <v>12.92786</v>
      </c>
      <c r="G876" s="6" t="n">
        <v>77.63306</v>
      </c>
      <c r="H876" s="6" t="n">
        <v>1</v>
      </c>
      <c r="I876" s="6" t="n">
        <v>50</v>
      </c>
      <c r="J876" s="6" t="s">
        <v>39</v>
      </c>
      <c r="K876" s="7" t="b">
        <f aca="false">TRUE()</f>
        <v>1</v>
      </c>
    </row>
    <row r="877" customFormat="false" ht="15" hidden="false" customHeight="false" outlineLevel="0" collapsed="false">
      <c r="A877" s="6" t="n">
        <v>308809</v>
      </c>
      <c r="B877" s="6" t="s">
        <v>1334</v>
      </c>
      <c r="C877" s="6" t="s">
        <v>951</v>
      </c>
      <c r="D877" s="6" t="s">
        <v>34</v>
      </c>
      <c r="E877" s="6" t="s">
        <v>35</v>
      </c>
      <c r="F877" s="6" t="n">
        <v>12.93484</v>
      </c>
      <c r="G877" s="6" t="n">
        <v>77.6118</v>
      </c>
      <c r="H877" s="6" t="n">
        <v>1</v>
      </c>
      <c r="I877" s="6" t="n">
        <v>24</v>
      </c>
      <c r="J877" s="6" t="s">
        <v>36</v>
      </c>
      <c r="K877" s="7" t="b">
        <f aca="false">FALSE()</f>
        <v>0</v>
      </c>
    </row>
    <row r="878" customFormat="false" ht="15" hidden="false" customHeight="false" outlineLevel="0" collapsed="false">
      <c r="A878" s="6" t="n">
        <v>308808</v>
      </c>
      <c r="B878" s="6" t="s">
        <v>1335</v>
      </c>
      <c r="C878" s="6" t="s">
        <v>951</v>
      </c>
      <c r="D878" s="6" t="s">
        <v>34</v>
      </c>
      <c r="E878" s="6" t="s">
        <v>35</v>
      </c>
      <c r="F878" s="6" t="n">
        <v>12.99267</v>
      </c>
      <c r="G878" s="6" t="n">
        <v>77.66117</v>
      </c>
      <c r="H878" s="6" t="n">
        <v>1</v>
      </c>
      <c r="I878" s="6" t="n">
        <v>22</v>
      </c>
      <c r="J878" s="6" t="s">
        <v>36</v>
      </c>
      <c r="K878" s="7" t="b">
        <f aca="false">FALSE()</f>
        <v>0</v>
      </c>
    </row>
    <row r="879" customFormat="false" ht="15" hidden="false" customHeight="false" outlineLevel="0" collapsed="false">
      <c r="A879" s="6" t="n">
        <v>308807</v>
      </c>
      <c r="B879" s="6" t="s">
        <v>1336</v>
      </c>
      <c r="C879" s="6" t="s">
        <v>951</v>
      </c>
      <c r="D879" s="6" t="s">
        <v>34</v>
      </c>
      <c r="E879" s="6" t="s">
        <v>35</v>
      </c>
      <c r="F879" s="6" t="n">
        <v>12.99365</v>
      </c>
      <c r="G879" s="6" t="n">
        <v>77.66045</v>
      </c>
      <c r="H879" s="6" t="n">
        <v>1</v>
      </c>
      <c r="I879" s="6" t="n">
        <v>60</v>
      </c>
      <c r="J879" s="6" t="s">
        <v>39</v>
      </c>
      <c r="K879" s="7" t="b">
        <f aca="false">TRUE()</f>
        <v>1</v>
      </c>
    </row>
    <row r="880" customFormat="false" ht="15" hidden="false" customHeight="false" outlineLevel="0" collapsed="false">
      <c r="A880" s="6" t="n">
        <v>308806</v>
      </c>
      <c r="B880" s="6" t="s">
        <v>1337</v>
      </c>
      <c r="C880" s="6" t="s">
        <v>951</v>
      </c>
      <c r="D880" s="6" t="s">
        <v>34</v>
      </c>
      <c r="E880" s="6" t="s">
        <v>35</v>
      </c>
      <c r="F880" s="6" t="n">
        <v>12.98247</v>
      </c>
      <c r="G880" s="6" t="n">
        <v>77.62461</v>
      </c>
      <c r="H880" s="6" t="n">
        <v>1</v>
      </c>
      <c r="I880" s="6" t="n">
        <v>24</v>
      </c>
      <c r="J880" s="6" t="s">
        <v>36</v>
      </c>
      <c r="K880" s="7" t="b">
        <f aca="false">FALSE()</f>
        <v>0</v>
      </c>
    </row>
    <row r="881" customFormat="false" ht="15" hidden="false" customHeight="false" outlineLevel="0" collapsed="false">
      <c r="A881" s="6" t="n">
        <v>308805</v>
      </c>
      <c r="B881" s="6" t="s">
        <v>1338</v>
      </c>
      <c r="C881" s="6" t="s">
        <v>951</v>
      </c>
      <c r="D881" s="6" t="s">
        <v>34</v>
      </c>
      <c r="E881" s="6" t="s">
        <v>35</v>
      </c>
      <c r="F881" s="6" t="n">
        <v>12.97622</v>
      </c>
      <c r="G881" s="6" t="n">
        <v>77.61948</v>
      </c>
      <c r="H881" s="6" t="n">
        <v>1</v>
      </c>
      <c r="I881" s="6" t="n">
        <v>22</v>
      </c>
      <c r="J881" s="6" t="s">
        <v>36</v>
      </c>
      <c r="K881" s="7" t="b">
        <f aca="false">FALSE()</f>
        <v>0</v>
      </c>
    </row>
    <row r="882" customFormat="false" ht="15" hidden="false" customHeight="false" outlineLevel="0" collapsed="false">
      <c r="A882" s="6" t="n">
        <v>308804</v>
      </c>
      <c r="B882" s="6" t="s">
        <v>1339</v>
      </c>
      <c r="C882" s="6" t="s">
        <v>951</v>
      </c>
      <c r="D882" s="6" t="s">
        <v>34</v>
      </c>
      <c r="E882" s="6" t="s">
        <v>35</v>
      </c>
      <c r="F882" s="6" t="n">
        <v>12.98026</v>
      </c>
      <c r="G882" s="6" t="n">
        <v>77.57661</v>
      </c>
      <c r="H882" s="6" t="n">
        <v>1</v>
      </c>
      <c r="I882" s="6" t="n">
        <v>7</v>
      </c>
      <c r="J882" s="6" t="s">
        <v>126</v>
      </c>
      <c r="K882" s="7" t="b">
        <f aca="false">FALSE()</f>
        <v>0</v>
      </c>
    </row>
    <row r="883" customFormat="false" ht="15" hidden="false" customHeight="false" outlineLevel="0" collapsed="false">
      <c r="A883" s="6" t="n">
        <v>308803</v>
      </c>
      <c r="B883" s="6" t="s">
        <v>1340</v>
      </c>
      <c r="C883" s="6" t="s">
        <v>951</v>
      </c>
      <c r="D883" s="6" t="s">
        <v>34</v>
      </c>
      <c r="E883" s="6" t="s">
        <v>35</v>
      </c>
      <c r="F883" s="6" t="n">
        <v>12.97396</v>
      </c>
      <c r="G883" s="6" t="n">
        <v>77.55157</v>
      </c>
      <c r="H883" s="6" t="n">
        <v>1</v>
      </c>
      <c r="I883" s="6" t="n">
        <v>22</v>
      </c>
      <c r="J883" s="6" t="s">
        <v>36</v>
      </c>
      <c r="K883" s="7" t="b">
        <f aca="false">FALSE()</f>
        <v>0</v>
      </c>
    </row>
    <row r="884" customFormat="false" ht="15" hidden="false" customHeight="false" outlineLevel="0" collapsed="false">
      <c r="A884" s="6" t="n">
        <v>308802</v>
      </c>
      <c r="B884" s="6" t="s">
        <v>1341</v>
      </c>
      <c r="C884" s="6" t="s">
        <v>951</v>
      </c>
      <c r="D884" s="6" t="s">
        <v>34</v>
      </c>
      <c r="E884" s="6" t="s">
        <v>35</v>
      </c>
      <c r="F884" s="6" t="n">
        <v>13.01275</v>
      </c>
      <c r="G884" s="6" t="n">
        <v>77.55504</v>
      </c>
      <c r="H884" s="6" t="n">
        <v>1</v>
      </c>
      <c r="I884" s="6" t="n">
        <v>30</v>
      </c>
      <c r="J884" s="6" t="s">
        <v>36</v>
      </c>
      <c r="K884" s="7" t="b">
        <f aca="false">FALSE()</f>
        <v>0</v>
      </c>
    </row>
    <row r="885" customFormat="false" ht="15" hidden="false" customHeight="false" outlineLevel="0" collapsed="false">
      <c r="A885" s="6" t="n">
        <v>308801</v>
      </c>
      <c r="B885" s="6" t="s">
        <v>1342</v>
      </c>
      <c r="C885" s="6" t="s">
        <v>951</v>
      </c>
      <c r="D885" s="6" t="s">
        <v>34</v>
      </c>
      <c r="E885" s="6" t="s">
        <v>35</v>
      </c>
      <c r="F885" s="6" t="n">
        <v>13.01105</v>
      </c>
      <c r="G885" s="6" t="n">
        <v>77.55471</v>
      </c>
      <c r="H885" s="6" t="n">
        <v>2</v>
      </c>
      <c r="I885" s="6" t="n">
        <v>60</v>
      </c>
      <c r="J885" s="6" t="s">
        <v>39</v>
      </c>
      <c r="K885" s="7" t="b">
        <f aca="false">TRUE()</f>
        <v>1</v>
      </c>
    </row>
    <row r="886" customFormat="false" ht="15" hidden="false" customHeight="false" outlineLevel="0" collapsed="false">
      <c r="A886" s="6" t="n">
        <v>308800</v>
      </c>
      <c r="B886" s="6" t="s">
        <v>1343</v>
      </c>
      <c r="C886" s="6" t="s">
        <v>951</v>
      </c>
      <c r="D886" s="6" t="s">
        <v>34</v>
      </c>
      <c r="E886" s="6" t="s">
        <v>35</v>
      </c>
      <c r="F886" s="6" t="n">
        <v>13.009553</v>
      </c>
      <c r="G886" s="6" t="n">
        <v>77.554611</v>
      </c>
      <c r="H886" s="6" t="n">
        <v>4</v>
      </c>
      <c r="I886" s="6" t="n">
        <v>30</v>
      </c>
      <c r="J886" s="6" t="s">
        <v>36</v>
      </c>
      <c r="K886" s="7" t="b">
        <f aca="false">FALSE()</f>
        <v>0</v>
      </c>
    </row>
    <row r="887" customFormat="false" ht="15" hidden="false" customHeight="false" outlineLevel="0" collapsed="false">
      <c r="A887" s="6" t="n">
        <v>308799</v>
      </c>
      <c r="B887" s="6" t="s">
        <v>1344</v>
      </c>
      <c r="C887" s="6" t="s">
        <v>951</v>
      </c>
      <c r="D887" s="6" t="s">
        <v>34</v>
      </c>
      <c r="E887" s="6" t="s">
        <v>35</v>
      </c>
      <c r="F887" s="6" t="n">
        <v>12.99935</v>
      </c>
      <c r="G887" s="6" t="n">
        <v>77.54971</v>
      </c>
      <c r="H887" s="6" t="n">
        <v>1</v>
      </c>
      <c r="I887" s="6" t="n">
        <v>25</v>
      </c>
      <c r="J887" s="6" t="s">
        <v>36</v>
      </c>
      <c r="K887" s="7" t="b">
        <f aca="false">FALSE()</f>
        <v>0</v>
      </c>
    </row>
    <row r="888" customFormat="false" ht="15" hidden="false" customHeight="false" outlineLevel="0" collapsed="false">
      <c r="A888" s="6" t="n">
        <v>308798</v>
      </c>
      <c r="B888" s="6" t="s">
        <v>1345</v>
      </c>
      <c r="C888" s="6" t="s">
        <v>951</v>
      </c>
      <c r="D888" s="6" t="s">
        <v>34</v>
      </c>
      <c r="E888" s="6" t="s">
        <v>35</v>
      </c>
      <c r="F888" s="6" t="n">
        <v>13.028822</v>
      </c>
      <c r="G888" s="6" t="n">
        <v>77.540322</v>
      </c>
      <c r="H888" s="6" t="n">
        <v>2</v>
      </c>
      <c r="I888" s="6" t="n">
        <v>30</v>
      </c>
      <c r="J888" s="6" t="s">
        <v>36</v>
      </c>
      <c r="K888" s="7" t="b">
        <f aca="false">FALSE()</f>
        <v>0</v>
      </c>
    </row>
    <row r="889" customFormat="false" ht="15" hidden="false" customHeight="false" outlineLevel="0" collapsed="false">
      <c r="A889" s="6" t="n">
        <v>308795</v>
      </c>
      <c r="B889" s="6" t="s">
        <v>1346</v>
      </c>
      <c r="C889" s="6" t="s">
        <v>951</v>
      </c>
      <c r="D889" s="6" t="s">
        <v>34</v>
      </c>
      <c r="E889" s="6" t="s">
        <v>35</v>
      </c>
      <c r="F889" s="6" t="n">
        <v>13.04917</v>
      </c>
      <c r="G889" s="6" t="n">
        <v>77.49967</v>
      </c>
      <c r="H889" s="6" t="n">
        <v>3</v>
      </c>
      <c r="I889" s="6" t="n">
        <v>7.2</v>
      </c>
      <c r="J889" s="6" t="s">
        <v>126</v>
      </c>
      <c r="K889" s="7" t="b">
        <f aca="false">FALSE()</f>
        <v>0</v>
      </c>
    </row>
    <row r="890" customFormat="false" ht="15" hidden="false" customHeight="false" outlineLevel="0" collapsed="false">
      <c r="A890" s="6" t="n">
        <v>308792</v>
      </c>
      <c r="B890" s="6" t="s">
        <v>1347</v>
      </c>
      <c r="C890" s="6" t="s">
        <v>1239</v>
      </c>
      <c r="D890" s="6" t="s">
        <v>34</v>
      </c>
      <c r="E890" s="6" t="s">
        <v>35</v>
      </c>
      <c r="F890" s="6" t="n">
        <v>13.31559</v>
      </c>
      <c r="G890" s="6" t="n">
        <v>75.79555</v>
      </c>
      <c r="H890" s="6" t="n">
        <v>2</v>
      </c>
      <c r="I890" s="6" t="n">
        <v>7.4</v>
      </c>
      <c r="J890" s="6" t="s">
        <v>126</v>
      </c>
      <c r="K890" s="7" t="b">
        <f aca="false">FALSE()</f>
        <v>0</v>
      </c>
    </row>
    <row r="891" customFormat="false" ht="15" hidden="false" customHeight="false" outlineLevel="0" collapsed="false">
      <c r="A891" s="6" t="n">
        <v>308791</v>
      </c>
      <c r="B891" s="6" t="s">
        <v>1348</v>
      </c>
      <c r="C891" s="6" t="s">
        <v>1349</v>
      </c>
      <c r="D891" s="6" t="s">
        <v>34</v>
      </c>
      <c r="E891" s="6" t="s">
        <v>35</v>
      </c>
      <c r="F891" s="6" t="n">
        <v>13.26252</v>
      </c>
      <c r="G891" s="6" t="n">
        <v>76.49317</v>
      </c>
      <c r="H891" s="6" t="n">
        <v>1</v>
      </c>
      <c r="I891" s="6" t="n">
        <v>30</v>
      </c>
      <c r="J891" s="6" t="s">
        <v>36</v>
      </c>
      <c r="K891" s="7" t="b">
        <f aca="false">FALSE()</f>
        <v>0</v>
      </c>
    </row>
    <row r="892" customFormat="false" ht="15" hidden="false" customHeight="false" outlineLevel="0" collapsed="false">
      <c r="A892" s="6" t="n">
        <v>308790</v>
      </c>
      <c r="B892" s="6" t="s">
        <v>1350</v>
      </c>
      <c r="C892" s="6" t="s">
        <v>1351</v>
      </c>
      <c r="D892" s="6" t="s">
        <v>34</v>
      </c>
      <c r="E892" s="6" t="s">
        <v>35</v>
      </c>
      <c r="F892" s="6" t="n">
        <v>13.31672</v>
      </c>
      <c r="G892" s="6" t="n">
        <v>76.68119</v>
      </c>
      <c r="H892" s="6" t="n">
        <v>1</v>
      </c>
      <c r="I892" s="6" t="n">
        <v>60</v>
      </c>
      <c r="J892" s="6" t="s">
        <v>39</v>
      </c>
      <c r="K892" s="7" t="b">
        <f aca="false">TRUE()</f>
        <v>1</v>
      </c>
    </row>
    <row r="893" customFormat="false" ht="15" hidden="false" customHeight="false" outlineLevel="0" collapsed="false">
      <c r="A893" s="6" t="n">
        <v>308783</v>
      </c>
      <c r="B893" s="6" t="s">
        <v>1352</v>
      </c>
      <c r="C893" s="6" t="s">
        <v>1353</v>
      </c>
      <c r="D893" s="6" t="s">
        <v>34</v>
      </c>
      <c r="E893" s="6" t="s">
        <v>35</v>
      </c>
      <c r="F893" s="6" t="n">
        <v>13.15172</v>
      </c>
      <c r="G893" s="6" t="n">
        <v>77.33795</v>
      </c>
      <c r="H893" s="6" t="n">
        <v>3</v>
      </c>
      <c r="I893" s="6" t="n">
        <v>200</v>
      </c>
      <c r="J893" s="6" t="s">
        <v>748</v>
      </c>
      <c r="K893" s="7" t="b">
        <f aca="false">TRUE()</f>
        <v>1</v>
      </c>
    </row>
    <row r="894" customFormat="false" ht="15" hidden="false" customHeight="false" outlineLevel="0" collapsed="false">
      <c r="A894" s="6" t="n">
        <v>308782</v>
      </c>
      <c r="B894" s="6" t="s">
        <v>1354</v>
      </c>
      <c r="C894" s="6" t="s">
        <v>1355</v>
      </c>
      <c r="D894" s="6" t="s">
        <v>34</v>
      </c>
      <c r="E894" s="6" t="s">
        <v>35</v>
      </c>
      <c r="F894" s="6" t="n">
        <v>12.38494</v>
      </c>
      <c r="G894" s="6" t="n">
        <v>77.05314</v>
      </c>
      <c r="H894" s="6" t="n">
        <v>1</v>
      </c>
      <c r="I894" s="6" t="n">
        <v>30</v>
      </c>
      <c r="J894" s="6" t="s">
        <v>36</v>
      </c>
      <c r="K894" s="7" t="b">
        <f aca="false">FALSE()</f>
        <v>0</v>
      </c>
    </row>
    <row r="895" customFormat="false" ht="15" hidden="false" customHeight="false" outlineLevel="0" collapsed="false">
      <c r="A895" s="6" t="n">
        <v>308781</v>
      </c>
      <c r="B895" s="6" t="s">
        <v>1356</v>
      </c>
      <c r="C895" s="6" t="s">
        <v>1357</v>
      </c>
      <c r="D895" s="6" t="s">
        <v>34</v>
      </c>
      <c r="E895" s="6" t="s">
        <v>35</v>
      </c>
      <c r="F895" s="6" t="n">
        <v>12.30143</v>
      </c>
      <c r="G895" s="6" t="n">
        <v>75.67671</v>
      </c>
      <c r="H895" s="6" t="n">
        <v>1</v>
      </c>
      <c r="I895" s="6" t="n">
        <v>60</v>
      </c>
      <c r="J895" s="6" t="s">
        <v>39</v>
      </c>
      <c r="K895" s="7" t="b">
        <f aca="false">TRUE()</f>
        <v>1</v>
      </c>
    </row>
    <row r="896" customFormat="false" ht="15" hidden="false" customHeight="false" outlineLevel="0" collapsed="false">
      <c r="A896" s="6" t="n">
        <v>308780</v>
      </c>
      <c r="B896" s="6" t="s">
        <v>1358</v>
      </c>
      <c r="C896" s="6" t="s">
        <v>1316</v>
      </c>
      <c r="D896" s="6" t="s">
        <v>34</v>
      </c>
      <c r="E896" s="6" t="s">
        <v>35</v>
      </c>
      <c r="F896" s="6" t="n">
        <v>12.18228</v>
      </c>
      <c r="G896" s="6" t="n">
        <v>75.828</v>
      </c>
      <c r="H896" s="6" t="n">
        <v>2</v>
      </c>
      <c r="I896" s="6" t="n">
        <v>25</v>
      </c>
      <c r="J896" s="6" t="s">
        <v>36</v>
      </c>
      <c r="K896" s="7" t="b">
        <f aca="false">FALSE()</f>
        <v>0</v>
      </c>
    </row>
    <row r="897" customFormat="false" ht="15" hidden="false" customHeight="false" outlineLevel="0" collapsed="false">
      <c r="A897" s="6" t="n">
        <v>308779</v>
      </c>
      <c r="B897" s="6" t="s">
        <v>1359</v>
      </c>
      <c r="C897" s="6" t="s">
        <v>1360</v>
      </c>
      <c r="D897" s="6" t="s">
        <v>34</v>
      </c>
      <c r="E897" s="6" t="s">
        <v>35</v>
      </c>
      <c r="F897" s="6" t="n">
        <v>12.18078</v>
      </c>
      <c r="G897" s="6" t="n">
        <v>75.91345</v>
      </c>
      <c r="H897" s="6" t="n">
        <v>2</v>
      </c>
      <c r="I897" s="6" t="n">
        <v>60</v>
      </c>
      <c r="J897" s="6" t="s">
        <v>39</v>
      </c>
      <c r="K897" s="7" t="b">
        <f aca="false">TRUE()</f>
        <v>1</v>
      </c>
    </row>
    <row r="898" customFormat="false" ht="15" hidden="false" customHeight="false" outlineLevel="0" collapsed="false">
      <c r="A898" s="6" t="n">
        <v>308778</v>
      </c>
      <c r="B898" s="6" t="s">
        <v>1361</v>
      </c>
      <c r="C898" s="6" t="s">
        <v>1140</v>
      </c>
      <c r="D898" s="6" t="s">
        <v>34</v>
      </c>
      <c r="E898" s="6" t="s">
        <v>35</v>
      </c>
      <c r="F898" s="6" t="n">
        <v>12.44606</v>
      </c>
      <c r="G898" s="6" t="n">
        <v>75.68499</v>
      </c>
      <c r="H898" s="6" t="n">
        <v>1</v>
      </c>
      <c r="I898" s="6" t="n">
        <v>30</v>
      </c>
      <c r="J898" s="6" t="s">
        <v>36</v>
      </c>
      <c r="K898" s="7" t="b">
        <f aca="false">FALSE()</f>
        <v>0</v>
      </c>
    </row>
    <row r="899" customFormat="false" ht="15" hidden="false" customHeight="false" outlineLevel="0" collapsed="false">
      <c r="A899" s="6" t="n">
        <v>308777</v>
      </c>
      <c r="B899" s="6" t="s">
        <v>1362</v>
      </c>
      <c r="C899" s="6" t="s">
        <v>1140</v>
      </c>
      <c r="D899" s="6" t="s">
        <v>34</v>
      </c>
      <c r="E899" s="6" t="s">
        <v>35</v>
      </c>
      <c r="F899" s="6" t="n">
        <v>12.41887</v>
      </c>
      <c r="G899" s="6" t="n">
        <v>75.74048</v>
      </c>
      <c r="H899" s="6" t="n">
        <v>2</v>
      </c>
      <c r="I899" s="6" t="n">
        <v>25</v>
      </c>
      <c r="J899" s="6" t="s">
        <v>36</v>
      </c>
      <c r="K899" s="7" t="b">
        <f aca="false">FALSE()</f>
        <v>0</v>
      </c>
    </row>
    <row r="900" customFormat="false" ht="15" hidden="false" customHeight="false" outlineLevel="0" collapsed="false">
      <c r="A900" s="6" t="n">
        <v>308776</v>
      </c>
      <c r="B900" s="6" t="s">
        <v>1363</v>
      </c>
      <c r="C900" s="6" t="s">
        <v>1364</v>
      </c>
      <c r="D900" s="6" t="s">
        <v>34</v>
      </c>
      <c r="E900" s="6" t="s">
        <v>35</v>
      </c>
      <c r="F900" s="6" t="n">
        <v>12.44616</v>
      </c>
      <c r="G900" s="6" t="n">
        <v>75.93032</v>
      </c>
      <c r="H900" s="6" t="n">
        <v>2</v>
      </c>
      <c r="I900" s="6" t="n">
        <v>60</v>
      </c>
      <c r="J900" s="6" t="s">
        <v>39</v>
      </c>
      <c r="K900" s="7" t="b">
        <f aca="false">TRUE()</f>
        <v>1</v>
      </c>
    </row>
    <row r="901" customFormat="false" ht="15" hidden="false" customHeight="false" outlineLevel="0" collapsed="false">
      <c r="A901" s="6" t="n">
        <v>308775</v>
      </c>
      <c r="B901" s="6" t="s">
        <v>1365</v>
      </c>
      <c r="C901" s="6" t="s">
        <v>1366</v>
      </c>
      <c r="D901" s="6" t="s">
        <v>34</v>
      </c>
      <c r="E901" s="6" t="s">
        <v>35</v>
      </c>
      <c r="F901" s="6" t="n">
        <v>12.44734</v>
      </c>
      <c r="G901" s="6" t="n">
        <v>75.93211</v>
      </c>
      <c r="H901" s="6" t="n">
        <v>1</v>
      </c>
      <c r="I901" s="6" t="n">
        <v>24</v>
      </c>
      <c r="J901" s="6" t="s">
        <v>36</v>
      </c>
      <c r="K901" s="7" t="b">
        <f aca="false">FALSE()</f>
        <v>0</v>
      </c>
    </row>
    <row r="902" customFormat="false" ht="15" hidden="false" customHeight="false" outlineLevel="0" collapsed="false">
      <c r="A902" s="6" t="n">
        <v>308774</v>
      </c>
      <c r="B902" s="6" t="s">
        <v>1367</v>
      </c>
      <c r="C902" s="6" t="s">
        <v>1368</v>
      </c>
      <c r="D902" s="6" t="s">
        <v>34</v>
      </c>
      <c r="E902" s="6" t="s">
        <v>35</v>
      </c>
      <c r="F902" s="6" t="n">
        <v>12.40038</v>
      </c>
      <c r="G902" s="6" t="n">
        <v>76.01705</v>
      </c>
      <c r="H902" s="6" t="n">
        <v>2</v>
      </c>
      <c r="I902" s="6" t="n">
        <v>60</v>
      </c>
      <c r="J902" s="6" t="s">
        <v>39</v>
      </c>
      <c r="K902" s="7" t="b">
        <f aca="false">TRUE()</f>
        <v>1</v>
      </c>
    </row>
    <row r="903" customFormat="false" ht="15" hidden="false" customHeight="false" outlineLevel="0" collapsed="false">
      <c r="A903" s="6" t="n">
        <v>308773</v>
      </c>
      <c r="B903" s="6" t="s">
        <v>1369</v>
      </c>
      <c r="C903" s="6" t="s">
        <v>1370</v>
      </c>
      <c r="D903" s="6" t="s">
        <v>34</v>
      </c>
      <c r="E903" s="6" t="s">
        <v>35</v>
      </c>
      <c r="F903" s="6" t="n">
        <v>12.38309</v>
      </c>
      <c r="G903" s="6" t="n">
        <v>76.03155</v>
      </c>
      <c r="H903" s="6" t="n">
        <v>2</v>
      </c>
      <c r="I903" s="6" t="n">
        <v>60</v>
      </c>
      <c r="J903" s="6" t="s">
        <v>39</v>
      </c>
      <c r="K903" s="7" t="b">
        <f aca="false">TRUE()</f>
        <v>1</v>
      </c>
    </row>
    <row r="904" customFormat="false" ht="15" hidden="false" customHeight="false" outlineLevel="0" collapsed="false">
      <c r="A904" s="6" t="n">
        <v>308763</v>
      </c>
      <c r="B904" s="6" t="s">
        <v>1371</v>
      </c>
      <c r="C904" s="6" t="s">
        <v>1372</v>
      </c>
      <c r="D904" s="6" t="s">
        <v>34</v>
      </c>
      <c r="E904" s="6" t="s">
        <v>35</v>
      </c>
      <c r="F904" s="6" t="n">
        <v>12.50535</v>
      </c>
      <c r="G904" s="6" t="n">
        <v>76.83215</v>
      </c>
      <c r="H904" s="6" t="n">
        <v>1</v>
      </c>
      <c r="I904" s="6" t="n">
        <v>60</v>
      </c>
      <c r="J904" s="6" t="s">
        <v>39</v>
      </c>
      <c r="K904" s="7" t="b">
        <f aca="false">TRUE()</f>
        <v>1</v>
      </c>
    </row>
    <row r="905" customFormat="false" ht="15" hidden="false" customHeight="false" outlineLevel="0" collapsed="false">
      <c r="A905" s="6" t="n">
        <v>308762</v>
      </c>
      <c r="B905" s="6" t="s">
        <v>1373</v>
      </c>
      <c r="C905" s="6" t="s">
        <v>1374</v>
      </c>
      <c r="D905" s="6" t="s">
        <v>34</v>
      </c>
      <c r="E905" s="6" t="s">
        <v>35</v>
      </c>
      <c r="F905" s="6" t="n">
        <v>12.639274</v>
      </c>
      <c r="G905" s="6" t="n">
        <v>77.139907</v>
      </c>
      <c r="H905" s="6" t="n">
        <v>2</v>
      </c>
      <c r="I905" s="6" t="n">
        <v>60</v>
      </c>
      <c r="J905" s="6" t="s">
        <v>39</v>
      </c>
      <c r="K905" s="7" t="b">
        <f aca="false">TRUE()</f>
        <v>1</v>
      </c>
    </row>
    <row r="906" customFormat="false" ht="15" hidden="false" customHeight="false" outlineLevel="0" collapsed="false">
      <c r="A906" s="6" t="n">
        <v>308761</v>
      </c>
      <c r="B906" s="6" t="s">
        <v>1375</v>
      </c>
      <c r="C906" s="6" t="s">
        <v>1258</v>
      </c>
      <c r="D906" s="6" t="s">
        <v>34</v>
      </c>
      <c r="E906" s="6" t="s">
        <v>35</v>
      </c>
      <c r="F906" s="6" t="n">
        <v>12.6396</v>
      </c>
      <c r="G906" s="6" t="n">
        <v>77.14106</v>
      </c>
      <c r="H906" s="6" t="n">
        <v>1</v>
      </c>
      <c r="I906" s="6" t="n">
        <v>60</v>
      </c>
      <c r="J906" s="6" t="s">
        <v>39</v>
      </c>
      <c r="K906" s="7" t="b">
        <f aca="false">TRUE()</f>
        <v>1</v>
      </c>
    </row>
    <row r="907" customFormat="false" ht="15" hidden="false" customHeight="false" outlineLevel="0" collapsed="false">
      <c r="A907" s="6" t="n">
        <v>308760</v>
      </c>
      <c r="B907" s="6" t="s">
        <v>1376</v>
      </c>
      <c r="C907" s="6" t="s">
        <v>1258</v>
      </c>
      <c r="D907" s="6" t="s">
        <v>34</v>
      </c>
      <c r="E907" s="6" t="s">
        <v>35</v>
      </c>
      <c r="F907" s="6" t="n">
        <v>12.63923</v>
      </c>
      <c r="G907" s="6" t="n">
        <v>77.14023</v>
      </c>
      <c r="H907" s="6" t="n">
        <v>1</v>
      </c>
      <c r="I907" s="6" t="n">
        <v>30</v>
      </c>
      <c r="J907" s="6" t="s">
        <v>36</v>
      </c>
      <c r="K907" s="7" t="b">
        <f aca="false">FALSE()</f>
        <v>0</v>
      </c>
    </row>
    <row r="908" customFormat="false" ht="15" hidden="false" customHeight="false" outlineLevel="0" collapsed="false">
      <c r="A908" s="6" t="n">
        <v>308759</v>
      </c>
      <c r="B908" s="6" t="s">
        <v>1377</v>
      </c>
      <c r="C908" s="6" t="s">
        <v>1258</v>
      </c>
      <c r="D908" s="6" t="s">
        <v>34</v>
      </c>
      <c r="E908" s="6" t="s">
        <v>35</v>
      </c>
      <c r="F908" s="6" t="n">
        <v>12.64316</v>
      </c>
      <c r="G908" s="6" t="n">
        <v>77.15675</v>
      </c>
      <c r="H908" s="6" t="n">
        <v>1</v>
      </c>
      <c r="I908" s="6" t="n">
        <v>60</v>
      </c>
      <c r="J908" s="6" t="s">
        <v>39</v>
      </c>
      <c r="K908" s="7" t="b">
        <f aca="false">TRUE()</f>
        <v>1</v>
      </c>
    </row>
    <row r="909" customFormat="false" ht="15" hidden="false" customHeight="false" outlineLevel="0" collapsed="false">
      <c r="A909" s="6" t="n">
        <v>308758</v>
      </c>
      <c r="B909" s="6" t="s">
        <v>1378</v>
      </c>
      <c r="C909" s="6" t="s">
        <v>951</v>
      </c>
      <c r="D909" s="6" t="s">
        <v>34</v>
      </c>
      <c r="E909" s="6" t="s">
        <v>35</v>
      </c>
      <c r="F909" s="6" t="n">
        <v>13.0001</v>
      </c>
      <c r="G909" s="6" t="n">
        <v>77.52435</v>
      </c>
      <c r="H909" s="6" t="n">
        <v>2</v>
      </c>
      <c r="I909" s="6" t="n">
        <v>25</v>
      </c>
      <c r="J909" s="6" t="s">
        <v>36</v>
      </c>
      <c r="K909" s="7" t="b">
        <f aca="false">FALSE()</f>
        <v>0</v>
      </c>
    </row>
    <row r="910" customFormat="false" ht="15" hidden="false" customHeight="false" outlineLevel="0" collapsed="false">
      <c r="A910" s="6" t="n">
        <v>308757</v>
      </c>
      <c r="B910" s="6" t="s">
        <v>1379</v>
      </c>
      <c r="C910" s="6" t="s">
        <v>951</v>
      </c>
      <c r="D910" s="6" t="s">
        <v>34</v>
      </c>
      <c r="E910" s="6" t="s">
        <v>35</v>
      </c>
      <c r="F910" s="6" t="n">
        <v>12.98439</v>
      </c>
      <c r="G910" s="6" t="n">
        <v>77.57639</v>
      </c>
      <c r="H910" s="6" t="n">
        <v>1</v>
      </c>
      <c r="I910" s="6" t="n">
        <v>60</v>
      </c>
      <c r="J910" s="6" t="s">
        <v>39</v>
      </c>
      <c r="K910" s="7" t="b">
        <f aca="false">TRUE()</f>
        <v>1</v>
      </c>
    </row>
    <row r="911" customFormat="false" ht="15" hidden="false" customHeight="false" outlineLevel="0" collapsed="false">
      <c r="A911" s="6" t="n">
        <v>308734</v>
      </c>
      <c r="B911" s="6" t="s">
        <v>1380</v>
      </c>
      <c r="C911" s="6" t="s">
        <v>951</v>
      </c>
      <c r="D911" s="6" t="s">
        <v>34</v>
      </c>
      <c r="E911" s="6" t="s">
        <v>35</v>
      </c>
      <c r="F911" s="6" t="n">
        <v>13.02499</v>
      </c>
      <c r="G911" s="6" t="n">
        <v>77.54759</v>
      </c>
      <c r="H911" s="6" t="n">
        <v>5</v>
      </c>
      <c r="I911" s="6" t="n">
        <v>120</v>
      </c>
      <c r="J911" s="6" t="s">
        <v>39</v>
      </c>
      <c r="K911" s="7" t="b">
        <f aca="false">TRUE()</f>
        <v>1</v>
      </c>
    </row>
    <row r="912" customFormat="false" ht="15" hidden="false" customHeight="false" outlineLevel="0" collapsed="false">
      <c r="A912" s="6" t="n">
        <v>308733</v>
      </c>
      <c r="B912" s="6" t="s">
        <v>1381</v>
      </c>
      <c r="C912" s="6" t="s">
        <v>951</v>
      </c>
      <c r="D912" s="6" t="s">
        <v>34</v>
      </c>
      <c r="E912" s="6" t="s">
        <v>35</v>
      </c>
      <c r="F912" s="6" t="n">
        <v>13.05335</v>
      </c>
      <c r="G912" s="6" t="n">
        <v>77.50798</v>
      </c>
      <c r="H912" s="6" t="n">
        <v>1</v>
      </c>
      <c r="I912" s="6" t="n">
        <v>150</v>
      </c>
      <c r="J912" s="6" t="s">
        <v>748</v>
      </c>
      <c r="K912" s="7" t="b">
        <f aca="false">TRUE()</f>
        <v>1</v>
      </c>
    </row>
    <row r="913" customFormat="false" ht="15" hidden="false" customHeight="false" outlineLevel="0" collapsed="false">
      <c r="A913" s="6" t="n">
        <v>308732</v>
      </c>
      <c r="B913" s="6" t="s">
        <v>1382</v>
      </c>
      <c r="C913" s="6" t="s">
        <v>951</v>
      </c>
      <c r="D913" s="6" t="s">
        <v>34</v>
      </c>
      <c r="E913" s="6" t="s">
        <v>35</v>
      </c>
      <c r="F913" s="6" t="n">
        <v>12.98931</v>
      </c>
      <c r="G913" s="6" t="n">
        <v>77.50062</v>
      </c>
      <c r="H913" s="6" t="n">
        <v>2</v>
      </c>
      <c r="I913" s="6" t="n">
        <v>60</v>
      </c>
      <c r="J913" s="6" t="s">
        <v>39</v>
      </c>
      <c r="K913" s="7" t="b">
        <f aca="false">TRUE()</f>
        <v>1</v>
      </c>
    </row>
    <row r="914" customFormat="false" ht="15" hidden="false" customHeight="false" outlineLevel="0" collapsed="false">
      <c r="A914" s="6" t="n">
        <v>308731</v>
      </c>
      <c r="B914" s="6" t="s">
        <v>1383</v>
      </c>
      <c r="C914" s="6" t="s">
        <v>951</v>
      </c>
      <c r="D914" s="6" t="s">
        <v>34</v>
      </c>
      <c r="E914" s="6" t="s">
        <v>35</v>
      </c>
      <c r="F914" s="6" t="n">
        <v>12.94696</v>
      </c>
      <c r="G914" s="6" t="n">
        <v>77.53247</v>
      </c>
      <c r="H914" s="6" t="n">
        <v>5</v>
      </c>
      <c r="I914" s="6" t="n">
        <v>120</v>
      </c>
      <c r="J914" s="6" t="s">
        <v>39</v>
      </c>
      <c r="K914" s="7" t="b">
        <f aca="false">TRUE()</f>
        <v>1</v>
      </c>
    </row>
    <row r="915" customFormat="false" ht="15" hidden="false" customHeight="false" outlineLevel="0" collapsed="false">
      <c r="A915" s="6" t="n">
        <v>308730</v>
      </c>
      <c r="B915" s="6" t="s">
        <v>1384</v>
      </c>
      <c r="C915" s="6" t="s">
        <v>1239</v>
      </c>
      <c r="D915" s="6" t="s">
        <v>34</v>
      </c>
      <c r="E915" s="6" t="s">
        <v>35</v>
      </c>
      <c r="F915" s="6" t="n">
        <v>13.33696</v>
      </c>
      <c r="G915" s="6" t="n">
        <v>75.81749</v>
      </c>
      <c r="H915" s="6" t="n">
        <v>1</v>
      </c>
      <c r="I915" s="6" t="n">
        <v>25</v>
      </c>
      <c r="J915" s="6" t="s">
        <v>36</v>
      </c>
      <c r="K915" s="7" t="b">
        <f aca="false">FALSE()</f>
        <v>0</v>
      </c>
    </row>
    <row r="916" customFormat="false" ht="15" hidden="false" customHeight="false" outlineLevel="0" collapsed="false">
      <c r="A916" s="6" t="n">
        <v>308729</v>
      </c>
      <c r="B916" s="6" t="s">
        <v>1385</v>
      </c>
      <c r="C916" s="6" t="s">
        <v>1386</v>
      </c>
      <c r="D916" s="6" t="s">
        <v>34</v>
      </c>
      <c r="E916" s="6" t="s">
        <v>35</v>
      </c>
      <c r="F916" s="6" t="n">
        <v>13.10898</v>
      </c>
      <c r="G916" s="6" t="n">
        <v>75.74099</v>
      </c>
      <c r="H916" s="6" t="n">
        <v>1</v>
      </c>
      <c r="I916" s="6" t="n">
        <v>30</v>
      </c>
      <c r="J916" s="6" t="s">
        <v>36</v>
      </c>
      <c r="K916" s="7" t="b">
        <f aca="false">FALSE()</f>
        <v>0</v>
      </c>
    </row>
    <row r="917" customFormat="false" ht="15" hidden="false" customHeight="false" outlineLevel="0" collapsed="false">
      <c r="A917" s="6" t="n">
        <v>308728</v>
      </c>
      <c r="B917" s="6" t="s">
        <v>1387</v>
      </c>
      <c r="C917" s="6" t="s">
        <v>1388</v>
      </c>
      <c r="D917" s="6" t="s">
        <v>1389</v>
      </c>
      <c r="E917" s="6" t="s">
        <v>35</v>
      </c>
      <c r="F917" s="6" t="n">
        <v>15.36121</v>
      </c>
      <c r="G917" s="6" t="n">
        <v>73.95358</v>
      </c>
      <c r="H917" s="6" t="n">
        <v>1</v>
      </c>
      <c r="I917" s="6" t="n">
        <v>60</v>
      </c>
      <c r="J917" s="6" t="s">
        <v>39</v>
      </c>
      <c r="K917" s="7" t="b">
        <f aca="false">TRUE()</f>
        <v>1</v>
      </c>
    </row>
    <row r="918" customFormat="false" ht="15" hidden="false" customHeight="false" outlineLevel="0" collapsed="false">
      <c r="A918" s="6" t="n">
        <v>308727</v>
      </c>
      <c r="B918" s="6" t="s">
        <v>1390</v>
      </c>
      <c r="C918" s="6" t="s">
        <v>1391</v>
      </c>
      <c r="D918" s="6" t="s">
        <v>1389</v>
      </c>
      <c r="E918" s="6" t="s">
        <v>35</v>
      </c>
      <c r="F918" s="6" t="n">
        <v>15.39724</v>
      </c>
      <c r="G918" s="6" t="n">
        <v>73.81304</v>
      </c>
      <c r="H918" s="6" t="n">
        <v>1</v>
      </c>
      <c r="I918" s="6" t="n">
        <v>60</v>
      </c>
      <c r="J918" s="6" t="s">
        <v>39</v>
      </c>
      <c r="K918" s="7" t="b">
        <f aca="false">TRUE()</f>
        <v>1</v>
      </c>
    </row>
    <row r="919" customFormat="false" ht="15" hidden="false" customHeight="false" outlineLevel="0" collapsed="false">
      <c r="A919" s="6" t="n">
        <v>308726</v>
      </c>
      <c r="B919" s="6" t="s">
        <v>1392</v>
      </c>
      <c r="C919" s="6" t="s">
        <v>1391</v>
      </c>
      <c r="D919" s="6" t="s">
        <v>1389</v>
      </c>
      <c r="E919" s="6" t="s">
        <v>35</v>
      </c>
      <c r="F919" s="6" t="n">
        <v>15.38793</v>
      </c>
      <c r="G919" s="6" t="n">
        <v>73.86319</v>
      </c>
      <c r="H919" s="6" t="n">
        <v>1</v>
      </c>
      <c r="I919" s="6" t="n">
        <v>30</v>
      </c>
      <c r="J919" s="6" t="s">
        <v>36</v>
      </c>
      <c r="K919" s="7" t="b">
        <f aca="false">FALSE()</f>
        <v>0</v>
      </c>
    </row>
    <row r="920" customFormat="false" ht="15" hidden="false" customHeight="false" outlineLevel="0" collapsed="false">
      <c r="A920" s="6" t="n">
        <v>308725</v>
      </c>
      <c r="B920" s="6" t="s">
        <v>1393</v>
      </c>
      <c r="C920" s="6" t="s">
        <v>1394</v>
      </c>
      <c r="D920" s="6" t="s">
        <v>1389</v>
      </c>
      <c r="E920" s="6" t="s">
        <v>35</v>
      </c>
      <c r="F920" s="6" t="n">
        <v>15.3203</v>
      </c>
      <c r="G920" s="6" t="n">
        <v>73.90176</v>
      </c>
      <c r="H920" s="6" t="n">
        <v>1</v>
      </c>
      <c r="I920" s="6" t="n">
        <v>60</v>
      </c>
      <c r="J920" s="6" t="s">
        <v>39</v>
      </c>
      <c r="K920" s="7" t="b">
        <f aca="false">TRUE()</f>
        <v>1</v>
      </c>
    </row>
    <row r="921" customFormat="false" ht="15" hidden="false" customHeight="false" outlineLevel="0" collapsed="false">
      <c r="A921" s="6" t="n">
        <v>308724</v>
      </c>
      <c r="B921" s="6" t="s">
        <v>1395</v>
      </c>
      <c r="C921" s="6" t="s">
        <v>1396</v>
      </c>
      <c r="D921" s="6" t="s">
        <v>1389</v>
      </c>
      <c r="E921" s="6" t="s">
        <v>35</v>
      </c>
      <c r="F921" s="6" t="n">
        <v>15.24629</v>
      </c>
      <c r="G921" s="6" t="n">
        <v>73.92976</v>
      </c>
      <c r="H921" s="6" t="n">
        <v>1</v>
      </c>
      <c r="I921" s="6" t="n">
        <v>30</v>
      </c>
      <c r="J921" s="6" t="s">
        <v>36</v>
      </c>
      <c r="K921" s="7" t="b">
        <f aca="false">FALSE()</f>
        <v>0</v>
      </c>
    </row>
    <row r="922" customFormat="false" ht="15" hidden="false" customHeight="false" outlineLevel="0" collapsed="false">
      <c r="A922" s="6" t="n">
        <v>308723</v>
      </c>
      <c r="B922" s="6" t="s">
        <v>1397</v>
      </c>
      <c r="C922" s="6" t="s">
        <v>1398</v>
      </c>
      <c r="D922" s="6" t="s">
        <v>1389</v>
      </c>
      <c r="E922" s="6" t="s">
        <v>35</v>
      </c>
      <c r="F922" s="6" t="n">
        <v>15.154127</v>
      </c>
      <c r="G922" s="6" t="n">
        <v>73.951178</v>
      </c>
      <c r="H922" s="6" t="n">
        <v>1</v>
      </c>
      <c r="I922" s="6" t="n">
        <v>60</v>
      </c>
      <c r="J922" s="6" t="s">
        <v>39</v>
      </c>
      <c r="K922" s="7" t="b">
        <f aca="false">TRUE()</f>
        <v>1</v>
      </c>
    </row>
    <row r="923" customFormat="false" ht="15" hidden="false" customHeight="false" outlineLevel="0" collapsed="false">
      <c r="A923" s="6" t="n">
        <v>308722</v>
      </c>
      <c r="B923" s="6" t="s">
        <v>1399</v>
      </c>
      <c r="C923" s="6" t="s">
        <v>1400</v>
      </c>
      <c r="D923" s="6" t="s">
        <v>34</v>
      </c>
      <c r="E923" s="6" t="s">
        <v>35</v>
      </c>
      <c r="F923" s="6" t="n">
        <v>12.3459</v>
      </c>
      <c r="G923" s="6" t="n">
        <v>76.43309</v>
      </c>
      <c r="H923" s="6" t="n">
        <v>1</v>
      </c>
      <c r="I923" s="6" t="n">
        <v>60</v>
      </c>
      <c r="J923" s="6" t="s">
        <v>39</v>
      </c>
      <c r="K923" s="7" t="b">
        <f aca="false">TRUE()</f>
        <v>1</v>
      </c>
    </row>
    <row r="924" customFormat="false" ht="15" hidden="false" customHeight="false" outlineLevel="0" collapsed="false">
      <c r="A924" s="6" t="n">
        <v>308721</v>
      </c>
      <c r="B924" s="6" t="s">
        <v>1401</v>
      </c>
      <c r="C924" s="6" t="s">
        <v>1402</v>
      </c>
      <c r="D924" s="6" t="s">
        <v>34</v>
      </c>
      <c r="E924" s="6" t="s">
        <v>35</v>
      </c>
      <c r="F924" s="6" t="n">
        <v>14.666674</v>
      </c>
      <c r="G924" s="6" t="n">
        <v>74.312212</v>
      </c>
      <c r="H924" s="6" t="n">
        <v>1</v>
      </c>
      <c r="I924" s="6" t="n">
        <v>60</v>
      </c>
      <c r="J924" s="6" t="s">
        <v>39</v>
      </c>
      <c r="K924" s="7" t="b">
        <f aca="false">TRUE()</f>
        <v>1</v>
      </c>
    </row>
    <row r="925" customFormat="false" ht="15" hidden="false" customHeight="false" outlineLevel="0" collapsed="false">
      <c r="A925" s="6" t="n">
        <v>308719</v>
      </c>
      <c r="B925" s="6" t="s">
        <v>1403</v>
      </c>
      <c r="C925" s="6" t="s">
        <v>1232</v>
      </c>
      <c r="D925" s="6" t="s">
        <v>34</v>
      </c>
      <c r="E925" s="6" t="s">
        <v>35</v>
      </c>
      <c r="F925" s="6" t="n">
        <v>14.290073</v>
      </c>
      <c r="G925" s="6" t="n">
        <v>74.462795</v>
      </c>
      <c r="H925" s="6" t="n">
        <v>1</v>
      </c>
      <c r="I925" s="6" t="n">
        <v>60</v>
      </c>
      <c r="J925" s="6" t="s">
        <v>39</v>
      </c>
      <c r="K925" s="7" t="b">
        <f aca="false">TRUE()</f>
        <v>1</v>
      </c>
    </row>
    <row r="926" customFormat="false" ht="15" hidden="false" customHeight="false" outlineLevel="0" collapsed="false">
      <c r="A926" s="6" t="n">
        <v>308716</v>
      </c>
      <c r="B926" s="6" t="s">
        <v>1404</v>
      </c>
      <c r="C926" s="6" t="s">
        <v>1405</v>
      </c>
      <c r="D926" s="6" t="s">
        <v>34</v>
      </c>
      <c r="E926" s="6" t="s">
        <v>35</v>
      </c>
      <c r="F926" s="6" t="n">
        <v>13.632721</v>
      </c>
      <c r="G926" s="6" t="n">
        <v>74.700461</v>
      </c>
      <c r="H926" s="6" t="n">
        <v>1</v>
      </c>
      <c r="I926" s="6" t="n">
        <v>60</v>
      </c>
      <c r="J926" s="6" t="s">
        <v>39</v>
      </c>
      <c r="K926" s="7" t="b">
        <f aca="false">TRUE()</f>
        <v>1</v>
      </c>
    </row>
    <row r="927" customFormat="false" ht="15" hidden="false" customHeight="false" outlineLevel="0" collapsed="false">
      <c r="A927" s="6" t="n">
        <v>308715</v>
      </c>
      <c r="B927" s="6" t="s">
        <v>1406</v>
      </c>
      <c r="C927" s="6" t="s">
        <v>1318</v>
      </c>
      <c r="D927" s="6" t="s">
        <v>34</v>
      </c>
      <c r="E927" s="6" t="s">
        <v>35</v>
      </c>
      <c r="F927" s="6" t="n">
        <v>13.350363</v>
      </c>
      <c r="G927" s="6" t="n">
        <v>74.736959</v>
      </c>
      <c r="H927" s="6" t="n">
        <v>1</v>
      </c>
      <c r="I927" s="6" t="n">
        <v>60</v>
      </c>
      <c r="J927" s="6" t="s">
        <v>39</v>
      </c>
      <c r="K927" s="7" t="b">
        <f aca="false">TRUE()</f>
        <v>1</v>
      </c>
    </row>
    <row r="928" customFormat="false" ht="15" hidden="false" customHeight="false" outlineLevel="0" collapsed="false">
      <c r="A928" s="6" t="n">
        <v>308714</v>
      </c>
      <c r="B928" s="6" t="s">
        <v>1407</v>
      </c>
      <c r="C928" s="6" t="s">
        <v>1408</v>
      </c>
      <c r="D928" s="6" t="s">
        <v>34</v>
      </c>
      <c r="E928" s="6" t="s">
        <v>35</v>
      </c>
      <c r="F928" s="6" t="n">
        <v>13.225674</v>
      </c>
      <c r="G928" s="6" t="n">
        <v>74.748624</v>
      </c>
      <c r="H928" s="6" t="n">
        <v>1</v>
      </c>
      <c r="I928" s="6" t="n">
        <v>60</v>
      </c>
      <c r="J928" s="6" t="s">
        <v>39</v>
      </c>
      <c r="K928" s="7" t="b">
        <f aca="false">TRUE()</f>
        <v>1</v>
      </c>
    </row>
    <row r="929" customFormat="false" ht="15" hidden="false" customHeight="false" outlineLevel="0" collapsed="false">
      <c r="A929" s="6" t="n">
        <v>308713</v>
      </c>
      <c r="B929" s="6" t="s">
        <v>1409</v>
      </c>
      <c r="C929" s="6" t="s">
        <v>1410</v>
      </c>
      <c r="D929" s="6" t="s">
        <v>34</v>
      </c>
      <c r="E929" s="6" t="s">
        <v>35</v>
      </c>
      <c r="F929" s="6" t="n">
        <v>13.194584</v>
      </c>
      <c r="G929" s="6" t="n">
        <v>74.998946</v>
      </c>
      <c r="H929" s="6" t="n">
        <v>1</v>
      </c>
      <c r="I929" s="6" t="n">
        <v>30</v>
      </c>
      <c r="J929" s="6" t="s">
        <v>36</v>
      </c>
      <c r="K929" s="7" t="b">
        <f aca="false">FALSE()</f>
        <v>0</v>
      </c>
    </row>
    <row r="930" customFormat="false" ht="15" hidden="false" customHeight="false" outlineLevel="0" collapsed="false">
      <c r="A930" s="6" t="n">
        <v>308711</v>
      </c>
      <c r="B930" s="6" t="s">
        <v>1411</v>
      </c>
      <c r="C930" s="6" t="s">
        <v>1157</v>
      </c>
      <c r="D930" s="6" t="s">
        <v>34</v>
      </c>
      <c r="E930" s="6" t="s">
        <v>35</v>
      </c>
      <c r="F930" s="6" t="n">
        <v>12.833854</v>
      </c>
      <c r="G930" s="6" t="n">
        <v>75.413355</v>
      </c>
      <c r="H930" s="6" t="n">
        <v>1</v>
      </c>
      <c r="I930" s="6" t="n">
        <v>60</v>
      </c>
      <c r="J930" s="6" t="s">
        <v>39</v>
      </c>
      <c r="K930" s="7" t="b">
        <f aca="false">TRUE()</f>
        <v>1</v>
      </c>
    </row>
    <row r="931" customFormat="false" ht="15" hidden="false" customHeight="false" outlineLevel="0" collapsed="false">
      <c r="A931" s="6" t="n">
        <v>308708</v>
      </c>
      <c r="B931" s="6" t="s">
        <v>1412</v>
      </c>
      <c r="C931" s="6" t="s">
        <v>1413</v>
      </c>
      <c r="D931" s="6" t="s">
        <v>34</v>
      </c>
      <c r="E931" s="6" t="s">
        <v>35</v>
      </c>
      <c r="F931" s="6" t="n">
        <v>12.931223</v>
      </c>
      <c r="G931" s="6" t="n">
        <v>75.407105</v>
      </c>
      <c r="H931" s="6" t="n">
        <v>1</v>
      </c>
      <c r="I931" s="6" t="n">
        <v>24</v>
      </c>
      <c r="J931" s="6" t="s">
        <v>36</v>
      </c>
      <c r="K931" s="7" t="b">
        <f aca="false">FALSE()</f>
        <v>0</v>
      </c>
    </row>
    <row r="932" customFormat="false" ht="15" hidden="false" customHeight="false" outlineLevel="0" collapsed="false">
      <c r="A932" s="6" t="n">
        <v>308679</v>
      </c>
      <c r="B932" s="6" t="s">
        <v>1414</v>
      </c>
      <c r="C932" s="6" t="s">
        <v>951</v>
      </c>
      <c r="D932" s="6" t="s">
        <v>34</v>
      </c>
      <c r="E932" s="6" t="s">
        <v>35</v>
      </c>
      <c r="F932" s="6" t="n">
        <v>12.905517</v>
      </c>
      <c r="G932" s="6" t="n">
        <v>77.47375</v>
      </c>
      <c r="H932" s="6" t="n">
        <v>4</v>
      </c>
      <c r="I932" s="6" t="n">
        <v>75</v>
      </c>
      <c r="J932" s="6" t="s">
        <v>39</v>
      </c>
      <c r="K932" s="7" t="b">
        <f aca="false">TRUE()</f>
        <v>1</v>
      </c>
    </row>
    <row r="933" customFormat="false" ht="15" hidden="false" customHeight="false" outlineLevel="0" collapsed="false">
      <c r="A933" s="6" t="n">
        <v>308678</v>
      </c>
      <c r="B933" s="6" t="s">
        <v>1415</v>
      </c>
      <c r="C933" s="6" t="s">
        <v>951</v>
      </c>
      <c r="D933" s="6" t="s">
        <v>34</v>
      </c>
      <c r="E933" s="6" t="s">
        <v>35</v>
      </c>
      <c r="F933" s="6" t="n">
        <v>12.923963</v>
      </c>
      <c r="G933" s="6" t="n">
        <v>77.497208</v>
      </c>
      <c r="H933" s="6" t="n">
        <v>1</v>
      </c>
      <c r="I933" s="6" t="n">
        <v>90</v>
      </c>
      <c r="J933" s="6" t="s">
        <v>39</v>
      </c>
      <c r="K933" s="7" t="b">
        <f aca="false">TRUE()</f>
        <v>1</v>
      </c>
    </row>
    <row r="934" customFormat="false" ht="15" hidden="false" customHeight="false" outlineLevel="0" collapsed="false">
      <c r="A934" s="6" t="n">
        <v>308663</v>
      </c>
      <c r="B934" s="6" t="s">
        <v>1416</v>
      </c>
      <c r="C934" s="6" t="s">
        <v>951</v>
      </c>
      <c r="D934" s="6" t="s">
        <v>34</v>
      </c>
      <c r="E934" s="6" t="s">
        <v>35</v>
      </c>
      <c r="F934" s="6" t="n">
        <v>13.026816</v>
      </c>
      <c r="G934" s="6" t="n">
        <v>77.542613</v>
      </c>
      <c r="H934" s="6" t="n">
        <v>1</v>
      </c>
      <c r="I934" s="6" t="n">
        <v>30</v>
      </c>
      <c r="J934" s="6" t="s">
        <v>36</v>
      </c>
      <c r="K934" s="7" t="b">
        <f aca="false">FALSE()</f>
        <v>0</v>
      </c>
    </row>
    <row r="935" customFormat="false" ht="15" hidden="false" customHeight="false" outlineLevel="0" collapsed="false">
      <c r="A935" s="6" t="n">
        <v>308662</v>
      </c>
      <c r="B935" s="6" t="s">
        <v>1417</v>
      </c>
      <c r="C935" s="6" t="s">
        <v>951</v>
      </c>
      <c r="D935" s="6" t="s">
        <v>34</v>
      </c>
      <c r="E935" s="6" t="s">
        <v>35</v>
      </c>
      <c r="F935" s="6" t="n">
        <v>13.046726</v>
      </c>
      <c r="G935" s="6" t="n">
        <v>77.50216</v>
      </c>
      <c r="H935" s="6" t="n">
        <v>1</v>
      </c>
      <c r="I935" s="6" t="n">
        <v>120</v>
      </c>
      <c r="J935" s="6" t="s">
        <v>39</v>
      </c>
      <c r="K935" s="7" t="b">
        <f aca="false">TRUE()</f>
        <v>1</v>
      </c>
    </row>
    <row r="936" customFormat="false" ht="15" hidden="false" customHeight="false" outlineLevel="0" collapsed="false">
      <c r="A936" s="6" t="n">
        <v>308661</v>
      </c>
      <c r="B936" s="6" t="s">
        <v>1418</v>
      </c>
      <c r="C936" s="6" t="s">
        <v>1419</v>
      </c>
      <c r="D936" s="6" t="s">
        <v>34</v>
      </c>
      <c r="E936" s="6" t="s">
        <v>35</v>
      </c>
      <c r="F936" s="6" t="n">
        <v>13.086525</v>
      </c>
      <c r="G936" s="6" t="n">
        <v>77.408473</v>
      </c>
      <c r="H936" s="6" t="n">
        <v>1</v>
      </c>
      <c r="I936" s="6" t="n">
        <v>60</v>
      </c>
      <c r="J936" s="6" t="s">
        <v>39</v>
      </c>
      <c r="K936" s="7" t="b">
        <f aca="false">TRUE()</f>
        <v>1</v>
      </c>
    </row>
    <row r="937" customFormat="false" ht="15" hidden="false" customHeight="false" outlineLevel="0" collapsed="false">
      <c r="A937" s="6" t="n">
        <v>308660</v>
      </c>
      <c r="B937" s="6" t="s">
        <v>1420</v>
      </c>
      <c r="C937" s="6" t="s">
        <v>1421</v>
      </c>
      <c r="D937" s="6" t="s">
        <v>34</v>
      </c>
      <c r="E937" s="6" t="s">
        <v>35</v>
      </c>
      <c r="F937" s="6" t="n">
        <v>13.033113</v>
      </c>
      <c r="G937" s="6" t="n">
        <v>77.087145</v>
      </c>
      <c r="H937" s="6" t="n">
        <v>1</v>
      </c>
      <c r="I937" s="6" t="n">
        <v>30</v>
      </c>
      <c r="J937" s="6" t="s">
        <v>36</v>
      </c>
      <c r="K937" s="7" t="b">
        <f aca="false">FALSE()</f>
        <v>0</v>
      </c>
    </row>
    <row r="938" customFormat="false" ht="15" hidden="false" customHeight="false" outlineLevel="0" collapsed="false">
      <c r="A938" s="6" t="n">
        <v>308659</v>
      </c>
      <c r="B938" s="6" t="s">
        <v>1422</v>
      </c>
      <c r="C938" s="6" t="s">
        <v>1421</v>
      </c>
      <c r="D938" s="6" t="s">
        <v>34</v>
      </c>
      <c r="E938" s="6" t="s">
        <v>35</v>
      </c>
      <c r="F938" s="6" t="n">
        <v>12.997771</v>
      </c>
      <c r="G938" s="6" t="n">
        <v>76.924169</v>
      </c>
      <c r="H938" s="6" t="n">
        <v>1</v>
      </c>
      <c r="I938" s="6" t="n">
        <v>120</v>
      </c>
      <c r="J938" s="6" t="s">
        <v>39</v>
      </c>
      <c r="K938" s="7" t="b">
        <f aca="false">TRUE()</f>
        <v>1</v>
      </c>
    </row>
    <row r="939" customFormat="false" ht="15" hidden="false" customHeight="false" outlineLevel="0" collapsed="false">
      <c r="A939" s="6" t="n">
        <v>308658</v>
      </c>
      <c r="B939" s="6" t="s">
        <v>1423</v>
      </c>
      <c r="C939" s="6" t="s">
        <v>1421</v>
      </c>
      <c r="D939" s="6" t="s">
        <v>34</v>
      </c>
      <c r="E939" s="6" t="s">
        <v>35</v>
      </c>
      <c r="F939" s="6" t="n">
        <v>12.99024</v>
      </c>
      <c r="G939" s="6" t="n">
        <v>76.881823</v>
      </c>
      <c r="H939" s="6" t="n">
        <v>1</v>
      </c>
      <c r="I939" s="6" t="n">
        <v>60</v>
      </c>
      <c r="J939" s="6" t="s">
        <v>39</v>
      </c>
      <c r="K939" s="7" t="b">
        <f aca="false">TRUE()</f>
        <v>1</v>
      </c>
    </row>
    <row r="940" customFormat="false" ht="15" hidden="false" customHeight="false" outlineLevel="0" collapsed="false">
      <c r="A940" s="6" t="n">
        <v>308657</v>
      </c>
      <c r="B940" s="6" t="s">
        <v>1424</v>
      </c>
      <c r="C940" s="6" t="s">
        <v>1421</v>
      </c>
      <c r="D940" s="6" t="s">
        <v>34</v>
      </c>
      <c r="E940" s="6" t="s">
        <v>35</v>
      </c>
      <c r="F940" s="6" t="n">
        <v>12.988038</v>
      </c>
      <c r="G940" s="6" t="n">
        <v>76.874646</v>
      </c>
      <c r="H940" s="6" t="n">
        <v>1</v>
      </c>
      <c r="I940" s="6" t="n">
        <v>24</v>
      </c>
      <c r="J940" s="6" t="s">
        <v>36</v>
      </c>
      <c r="K940" s="7" t="b">
        <f aca="false">FALSE()</f>
        <v>0</v>
      </c>
    </row>
    <row r="941" customFormat="false" ht="15" hidden="false" customHeight="false" outlineLevel="0" collapsed="false">
      <c r="A941" s="6" t="n">
        <v>308656</v>
      </c>
      <c r="B941" s="6" t="s">
        <v>1425</v>
      </c>
      <c r="C941" s="6" t="s">
        <v>1426</v>
      </c>
      <c r="D941" s="6" t="s">
        <v>34</v>
      </c>
      <c r="E941" s="6" t="s">
        <v>35</v>
      </c>
      <c r="F941" s="6" t="n">
        <v>12.987621</v>
      </c>
      <c r="G941" s="6" t="n">
        <v>76.873329</v>
      </c>
      <c r="H941" s="6" t="n">
        <v>1</v>
      </c>
      <c r="I941" s="6" t="n">
        <v>60</v>
      </c>
      <c r="J941" s="6" t="s">
        <v>39</v>
      </c>
      <c r="K941" s="7" t="b">
        <f aca="false">TRUE()</f>
        <v>1</v>
      </c>
    </row>
    <row r="942" customFormat="false" ht="15" hidden="false" customHeight="false" outlineLevel="0" collapsed="false">
      <c r="A942" s="6" t="n">
        <v>308655</v>
      </c>
      <c r="B942" s="6" t="s">
        <v>1427</v>
      </c>
      <c r="C942" s="6" t="s">
        <v>1428</v>
      </c>
      <c r="D942" s="6" t="s">
        <v>34</v>
      </c>
      <c r="E942" s="6" t="s">
        <v>35</v>
      </c>
      <c r="F942" s="6" t="n">
        <v>12.976021</v>
      </c>
      <c r="G942" s="6" t="n">
        <v>76.82832</v>
      </c>
      <c r="H942" s="6" t="n">
        <v>1</v>
      </c>
      <c r="I942" s="6" t="n">
        <v>25</v>
      </c>
      <c r="J942" s="6" t="s">
        <v>36</v>
      </c>
      <c r="K942" s="7" t="b">
        <f aca="false">FALSE()</f>
        <v>0</v>
      </c>
    </row>
    <row r="943" customFormat="false" ht="15" hidden="false" customHeight="false" outlineLevel="0" collapsed="false">
      <c r="A943" s="6" t="n">
        <v>308650</v>
      </c>
      <c r="B943" s="6" t="s">
        <v>1429</v>
      </c>
      <c r="C943" s="6" t="s">
        <v>1430</v>
      </c>
      <c r="D943" s="6" t="s">
        <v>34</v>
      </c>
      <c r="E943" s="6" t="s">
        <v>35</v>
      </c>
      <c r="F943" s="6" t="n">
        <v>12.970104</v>
      </c>
      <c r="G943" s="6" t="n">
        <v>76.801686</v>
      </c>
      <c r="H943" s="6" t="n">
        <v>1</v>
      </c>
      <c r="I943" s="6" t="n">
        <v>150</v>
      </c>
      <c r="J943" s="6" t="s">
        <v>748</v>
      </c>
      <c r="K943" s="7" t="b">
        <f aca="false">TRUE()</f>
        <v>1</v>
      </c>
    </row>
    <row r="944" customFormat="false" ht="15" hidden="false" customHeight="false" outlineLevel="0" collapsed="false">
      <c r="A944" s="6" t="n">
        <v>308649</v>
      </c>
      <c r="B944" s="6" t="s">
        <v>1431</v>
      </c>
      <c r="C944" s="6" t="s">
        <v>1430</v>
      </c>
      <c r="D944" s="6" t="s">
        <v>34</v>
      </c>
      <c r="E944" s="6" t="s">
        <v>35</v>
      </c>
      <c r="F944" s="6" t="n">
        <v>12.966355</v>
      </c>
      <c r="G944" s="6" t="n">
        <v>76.788373</v>
      </c>
      <c r="H944" s="6" t="n">
        <v>6</v>
      </c>
      <c r="I944" s="6" t="n">
        <v>60</v>
      </c>
      <c r="J944" s="6" t="s">
        <v>39</v>
      </c>
      <c r="K944" s="7" t="b">
        <f aca="false">TRUE()</f>
        <v>1</v>
      </c>
    </row>
    <row r="945" customFormat="false" ht="15" hidden="false" customHeight="false" outlineLevel="0" collapsed="false">
      <c r="A945" s="6" t="n">
        <v>308648</v>
      </c>
      <c r="B945" s="6" t="s">
        <v>1432</v>
      </c>
      <c r="C945" s="6" t="s">
        <v>1433</v>
      </c>
      <c r="D945" s="6" t="s">
        <v>34</v>
      </c>
      <c r="E945" s="6" t="s">
        <v>35</v>
      </c>
      <c r="F945" s="6" t="n">
        <v>12.96238</v>
      </c>
      <c r="G945" s="6" t="n">
        <v>76.749119</v>
      </c>
      <c r="H945" s="6" t="n">
        <v>1</v>
      </c>
      <c r="I945" s="6" t="n">
        <v>50</v>
      </c>
      <c r="J945" s="6" t="s">
        <v>39</v>
      </c>
      <c r="K945" s="7" t="b">
        <f aca="false">TRUE()</f>
        <v>1</v>
      </c>
    </row>
    <row r="946" customFormat="false" ht="15" hidden="false" customHeight="false" outlineLevel="0" collapsed="false">
      <c r="A946" s="6" t="n">
        <v>308647</v>
      </c>
      <c r="B946" s="6" t="s">
        <v>1434</v>
      </c>
      <c r="C946" s="6" t="s">
        <v>1435</v>
      </c>
      <c r="D946" s="6" t="s">
        <v>34</v>
      </c>
      <c r="E946" s="6" t="s">
        <v>35</v>
      </c>
      <c r="F946" s="6" t="n">
        <v>12.995358</v>
      </c>
      <c r="G946" s="6" t="n">
        <v>76.079775</v>
      </c>
      <c r="H946" s="6" t="n">
        <v>1</v>
      </c>
      <c r="I946" s="6" t="n">
        <v>30</v>
      </c>
      <c r="J946" s="6" t="s">
        <v>36</v>
      </c>
      <c r="K946" s="7" t="b">
        <f aca="false">FALSE()</f>
        <v>0</v>
      </c>
    </row>
    <row r="947" customFormat="false" ht="15" hidden="false" customHeight="false" outlineLevel="0" collapsed="false">
      <c r="A947" s="6" t="n">
        <v>308646</v>
      </c>
      <c r="B947" s="6" t="s">
        <v>1436</v>
      </c>
      <c r="C947" s="6" t="s">
        <v>1437</v>
      </c>
      <c r="D947" s="6" t="s">
        <v>34</v>
      </c>
      <c r="E947" s="6" t="s">
        <v>35</v>
      </c>
      <c r="F947" s="6" t="n">
        <v>12.956012</v>
      </c>
      <c r="G947" s="6" t="n">
        <v>75.850318</v>
      </c>
      <c r="H947" s="6" t="n">
        <v>1</v>
      </c>
      <c r="I947" s="6" t="n">
        <v>25</v>
      </c>
      <c r="J947" s="6" t="s">
        <v>36</v>
      </c>
      <c r="K947" s="7" t="b">
        <f aca="false">FALSE()</f>
        <v>0</v>
      </c>
    </row>
    <row r="948" customFormat="false" ht="15" hidden="false" customHeight="false" outlineLevel="0" collapsed="false">
      <c r="A948" s="6" t="n">
        <v>308645</v>
      </c>
      <c r="B948" s="6" t="s">
        <v>1438</v>
      </c>
      <c r="C948" s="6" t="s">
        <v>1439</v>
      </c>
      <c r="D948" s="6" t="s">
        <v>34</v>
      </c>
      <c r="E948" s="6" t="s">
        <v>35</v>
      </c>
      <c r="F948" s="6" t="n">
        <v>12.956363</v>
      </c>
      <c r="G948" s="6" t="n">
        <v>75.917309</v>
      </c>
      <c r="H948" s="6" t="n">
        <v>1</v>
      </c>
      <c r="I948" s="6" t="n">
        <v>120</v>
      </c>
      <c r="J948" s="6" t="s">
        <v>39</v>
      </c>
      <c r="K948" s="7" t="b">
        <f aca="false">TRUE()</f>
        <v>1</v>
      </c>
    </row>
    <row r="949" customFormat="false" ht="15" hidden="false" customHeight="false" outlineLevel="0" collapsed="false">
      <c r="A949" s="6" t="n">
        <v>308643</v>
      </c>
      <c r="B949" s="6" t="s">
        <v>1440</v>
      </c>
      <c r="C949" s="6" t="s">
        <v>1441</v>
      </c>
      <c r="D949" s="6" t="s">
        <v>34</v>
      </c>
      <c r="E949" s="6" t="s">
        <v>35</v>
      </c>
      <c r="F949" s="6" t="n">
        <v>12.986922</v>
      </c>
      <c r="G949" s="6" t="n">
        <v>76.205989</v>
      </c>
      <c r="H949" s="6" t="n">
        <v>8</v>
      </c>
      <c r="I949" s="6" t="n">
        <v>200</v>
      </c>
      <c r="J949" s="6" t="s">
        <v>748</v>
      </c>
      <c r="K949" s="7" t="b">
        <f aca="false">TRUE()</f>
        <v>1</v>
      </c>
    </row>
    <row r="950" customFormat="false" ht="15" hidden="false" customHeight="false" outlineLevel="0" collapsed="false">
      <c r="A950" s="6" t="n">
        <v>308366</v>
      </c>
      <c r="B950" s="6" t="s">
        <v>1442</v>
      </c>
      <c r="C950" s="6" t="s">
        <v>946</v>
      </c>
      <c r="D950" s="6" t="s">
        <v>753</v>
      </c>
      <c r="E950" s="6" t="s">
        <v>35</v>
      </c>
      <c r="F950" s="6" t="n">
        <v>12.90702</v>
      </c>
      <c r="G950" s="6" t="n">
        <v>78.9619</v>
      </c>
      <c r="H950" s="6" t="n">
        <v>3</v>
      </c>
      <c r="I950" s="6" t="n">
        <v>50</v>
      </c>
      <c r="J950" s="6" t="s">
        <v>39</v>
      </c>
      <c r="K950" s="7" t="b">
        <f aca="false">TRUE()</f>
        <v>1</v>
      </c>
    </row>
    <row r="951" customFormat="false" ht="15" hidden="false" customHeight="false" outlineLevel="0" collapsed="false">
      <c r="A951" s="6" t="n">
        <v>308365</v>
      </c>
      <c r="B951" s="6" t="s">
        <v>1432</v>
      </c>
      <c r="C951" s="6" t="s">
        <v>760</v>
      </c>
      <c r="D951" s="6" t="s">
        <v>753</v>
      </c>
      <c r="E951" s="6" t="s">
        <v>35</v>
      </c>
      <c r="F951" s="6" t="n">
        <v>12.888168</v>
      </c>
      <c r="G951" s="6" t="n">
        <v>78.879632</v>
      </c>
      <c r="H951" s="6" t="n">
        <v>5</v>
      </c>
      <c r="I951" s="6" t="n">
        <v>360</v>
      </c>
      <c r="J951" s="6" t="s">
        <v>748</v>
      </c>
      <c r="K951" s="7" t="b">
        <f aca="false">TRUE()</f>
        <v>1</v>
      </c>
    </row>
    <row r="952" customFormat="false" ht="15" hidden="false" customHeight="false" outlineLevel="0" collapsed="false">
      <c r="A952" s="6" t="n">
        <v>308058</v>
      </c>
      <c r="B952" s="6" t="s">
        <v>1443</v>
      </c>
      <c r="C952" s="6" t="s">
        <v>1444</v>
      </c>
      <c r="D952" s="6" t="s">
        <v>72</v>
      </c>
      <c r="E952" s="6" t="s">
        <v>35</v>
      </c>
      <c r="F952" s="6" t="n">
        <v>18.157327</v>
      </c>
      <c r="G952" s="6" t="n">
        <v>73.960178</v>
      </c>
      <c r="H952" s="6" t="n">
        <v>4</v>
      </c>
      <c r="I952" s="6" t="n">
        <v>120</v>
      </c>
      <c r="J952" s="6" t="s">
        <v>39</v>
      </c>
      <c r="K952" s="7" t="b">
        <f aca="false">TRUE()</f>
        <v>1</v>
      </c>
    </row>
    <row r="953" customFormat="false" ht="15" hidden="false" customHeight="false" outlineLevel="0" collapsed="false">
      <c r="A953" s="6" t="n">
        <v>308057</v>
      </c>
      <c r="B953" s="6" t="s">
        <v>1445</v>
      </c>
      <c r="C953" s="6" t="s">
        <v>1446</v>
      </c>
      <c r="D953" s="6" t="s">
        <v>72</v>
      </c>
      <c r="E953" s="6" t="s">
        <v>35</v>
      </c>
      <c r="F953" s="6" t="n">
        <v>16.002657</v>
      </c>
      <c r="G953" s="6" t="n">
        <v>74.043575</v>
      </c>
      <c r="H953" s="6" t="n">
        <v>2</v>
      </c>
      <c r="I953" s="6" t="n">
        <v>60</v>
      </c>
      <c r="J953" s="6" t="s">
        <v>39</v>
      </c>
      <c r="K953" s="7" t="b">
        <f aca="false">TRUE()</f>
        <v>1</v>
      </c>
    </row>
    <row r="954" customFormat="false" ht="15" hidden="false" customHeight="false" outlineLevel="0" collapsed="false">
      <c r="A954" s="6" t="n">
        <v>308043</v>
      </c>
      <c r="B954" s="6" t="s">
        <v>1447</v>
      </c>
      <c r="C954" s="6" t="s">
        <v>1444</v>
      </c>
      <c r="D954" s="6" t="s">
        <v>72</v>
      </c>
      <c r="E954" s="6" t="s">
        <v>35</v>
      </c>
      <c r="F954" s="6" t="n">
        <v>18.272046</v>
      </c>
      <c r="G954" s="6" t="n">
        <v>73.853272</v>
      </c>
      <c r="H954" s="6" t="n">
        <v>4</v>
      </c>
      <c r="I954" s="6" t="n">
        <v>60</v>
      </c>
      <c r="J954" s="6" t="s">
        <v>39</v>
      </c>
      <c r="K954" s="7" t="b">
        <f aca="false">TRUE()</f>
        <v>1</v>
      </c>
    </row>
    <row r="955" customFormat="false" ht="15" hidden="false" customHeight="false" outlineLevel="0" collapsed="false">
      <c r="A955" s="6" t="n">
        <v>308042</v>
      </c>
      <c r="B955" s="6" t="s">
        <v>1445</v>
      </c>
      <c r="C955" s="6" t="s">
        <v>1446</v>
      </c>
      <c r="D955" s="6" t="s">
        <v>72</v>
      </c>
      <c r="E955" s="6" t="s">
        <v>35</v>
      </c>
      <c r="F955" s="6" t="n">
        <v>16.002622</v>
      </c>
      <c r="G955" s="6" t="n">
        <v>74.043493</v>
      </c>
      <c r="H955" s="6" t="n">
        <v>2</v>
      </c>
      <c r="I955" s="6" t="n">
        <v>60</v>
      </c>
      <c r="J955" s="6" t="s">
        <v>39</v>
      </c>
      <c r="K955" s="7" t="b">
        <f aca="false">TRUE()</f>
        <v>1</v>
      </c>
    </row>
    <row r="956" customFormat="false" ht="15" hidden="false" customHeight="false" outlineLevel="0" collapsed="false">
      <c r="A956" s="6" t="n">
        <v>307912</v>
      </c>
      <c r="B956" s="6" t="s">
        <v>1448</v>
      </c>
      <c r="C956" s="6" t="s">
        <v>1449</v>
      </c>
      <c r="D956" s="6" t="s">
        <v>72</v>
      </c>
      <c r="E956" s="6" t="s">
        <v>35</v>
      </c>
      <c r="F956" s="6" t="n">
        <v>16.782334</v>
      </c>
      <c r="G956" s="6" t="n">
        <v>74.278181</v>
      </c>
      <c r="H956" s="6" t="n">
        <v>3</v>
      </c>
      <c r="I956" s="6" t="n">
        <v>60</v>
      </c>
      <c r="J956" s="6" t="s">
        <v>39</v>
      </c>
      <c r="K956" s="7" t="b">
        <f aca="false">TRUE()</f>
        <v>1</v>
      </c>
    </row>
    <row r="957" customFormat="false" ht="15" hidden="false" customHeight="false" outlineLevel="0" collapsed="false">
      <c r="A957" s="6" t="n">
        <v>307911</v>
      </c>
      <c r="B957" s="6" t="s">
        <v>1450</v>
      </c>
      <c r="C957" s="6" t="s">
        <v>1451</v>
      </c>
      <c r="D957" s="6" t="s">
        <v>72</v>
      </c>
      <c r="E957" s="6" t="s">
        <v>35</v>
      </c>
      <c r="F957" s="6" t="n">
        <v>16.703369</v>
      </c>
      <c r="G957" s="6" t="n">
        <v>74.250457</v>
      </c>
      <c r="H957" s="6" t="n">
        <v>3</v>
      </c>
      <c r="I957" s="6" t="n">
        <v>60</v>
      </c>
      <c r="J957" s="6" t="s">
        <v>39</v>
      </c>
      <c r="K957" s="7" t="b">
        <f aca="false">TRUE()</f>
        <v>1</v>
      </c>
    </row>
    <row r="958" customFormat="false" ht="15" hidden="false" customHeight="false" outlineLevel="0" collapsed="false">
      <c r="A958" s="6" t="n">
        <v>307481</v>
      </c>
      <c r="B958" s="6" t="s">
        <v>1452</v>
      </c>
      <c r="C958" s="6" t="s">
        <v>1453</v>
      </c>
      <c r="D958" s="6" t="s">
        <v>1454</v>
      </c>
      <c r="E958" s="6" t="s">
        <v>35</v>
      </c>
      <c r="F958" s="6" t="n">
        <v>30.70254</v>
      </c>
      <c r="G958" s="6" t="n">
        <v>76.729553</v>
      </c>
      <c r="H958" s="6" t="n">
        <v>1</v>
      </c>
      <c r="I958" s="6" t="n">
        <v>50</v>
      </c>
      <c r="J958" s="6" t="s">
        <v>39</v>
      </c>
      <c r="K958" s="7" t="b">
        <f aca="false">TRUE()</f>
        <v>1</v>
      </c>
    </row>
    <row r="959" customFormat="false" ht="15" hidden="false" customHeight="false" outlineLevel="0" collapsed="false">
      <c r="A959" s="6" t="n">
        <v>307480</v>
      </c>
      <c r="B959" s="6" t="s">
        <v>1455</v>
      </c>
      <c r="C959" s="6" t="s">
        <v>1453</v>
      </c>
      <c r="D959" s="6" t="s">
        <v>1456</v>
      </c>
      <c r="E959" s="6" t="s">
        <v>35</v>
      </c>
      <c r="F959" s="6" t="n">
        <v>30.7004</v>
      </c>
      <c r="G959" s="6" t="n">
        <v>76.789585</v>
      </c>
      <c r="H959" s="6" t="n">
        <v>2</v>
      </c>
      <c r="I959" s="6" t="n">
        <v>50</v>
      </c>
      <c r="J959" s="6" t="s">
        <v>39</v>
      </c>
      <c r="K959" s="7" t="b">
        <f aca="false">TRUE()</f>
        <v>1</v>
      </c>
    </row>
    <row r="960" customFormat="false" ht="15" hidden="false" customHeight="false" outlineLevel="0" collapsed="false">
      <c r="A960" s="6" t="n">
        <v>307469</v>
      </c>
      <c r="B960" s="6" t="s">
        <v>1457</v>
      </c>
      <c r="C960" s="6" t="s">
        <v>1458</v>
      </c>
      <c r="D960" s="6" t="s">
        <v>1456</v>
      </c>
      <c r="E960" s="6" t="s">
        <v>35</v>
      </c>
      <c r="F960" s="6" t="n">
        <v>29.94598</v>
      </c>
      <c r="G960" s="6" t="n">
        <v>76.899404</v>
      </c>
      <c r="H960" s="6" t="n">
        <v>3</v>
      </c>
      <c r="I960" s="6" t="n">
        <v>150</v>
      </c>
      <c r="J960" s="6" t="s">
        <v>748</v>
      </c>
      <c r="K960" s="7" t="b">
        <f aca="false">TRUE()</f>
        <v>1</v>
      </c>
    </row>
    <row r="961" customFormat="false" ht="15" hidden="false" customHeight="false" outlineLevel="0" collapsed="false">
      <c r="A961" s="6" t="n">
        <v>307468</v>
      </c>
      <c r="B961" s="6" t="s">
        <v>1459</v>
      </c>
      <c r="C961" s="6" t="s">
        <v>1460</v>
      </c>
      <c r="D961" s="6" t="s">
        <v>1454</v>
      </c>
      <c r="E961" s="6" t="s">
        <v>35</v>
      </c>
      <c r="F961" s="6" t="n">
        <v>30.544473</v>
      </c>
      <c r="G961" s="6" t="n">
        <v>76.821536</v>
      </c>
      <c r="H961" s="6" t="n">
        <v>2</v>
      </c>
      <c r="I961" s="6" t="n">
        <v>30</v>
      </c>
      <c r="J961" s="6" t="s">
        <v>36</v>
      </c>
      <c r="K961" s="7" t="b">
        <f aca="false">FALSE()</f>
        <v>0</v>
      </c>
    </row>
    <row r="962" customFormat="false" ht="15" hidden="false" customHeight="false" outlineLevel="0" collapsed="false">
      <c r="A962" s="6" t="n">
        <v>307467</v>
      </c>
      <c r="B962" s="6" t="s">
        <v>1461</v>
      </c>
      <c r="C962" s="6" t="s">
        <v>1462</v>
      </c>
      <c r="D962" s="6" t="s">
        <v>1456</v>
      </c>
      <c r="E962" s="6" t="s">
        <v>35</v>
      </c>
      <c r="F962" s="6" t="n">
        <v>30.282709</v>
      </c>
      <c r="G962" s="6" t="n">
        <v>77.012754</v>
      </c>
      <c r="H962" s="6" t="n">
        <v>2</v>
      </c>
      <c r="I962" s="6" t="n">
        <v>30</v>
      </c>
      <c r="J962" s="6" t="s">
        <v>36</v>
      </c>
      <c r="K962" s="7" t="b">
        <f aca="false">FALSE()</f>
        <v>0</v>
      </c>
    </row>
    <row r="963" customFormat="false" ht="15" hidden="false" customHeight="false" outlineLevel="0" collapsed="false">
      <c r="A963" s="6" t="n">
        <v>307466</v>
      </c>
      <c r="B963" s="6" t="s">
        <v>1463</v>
      </c>
      <c r="C963" s="6" t="s">
        <v>1458</v>
      </c>
      <c r="D963" s="6" t="s">
        <v>1456</v>
      </c>
      <c r="E963" s="6" t="s">
        <v>35</v>
      </c>
      <c r="F963" s="6" t="n">
        <v>29.975158</v>
      </c>
      <c r="G963" s="6" t="n">
        <v>76.891809</v>
      </c>
      <c r="H963" s="6" t="n">
        <v>4</v>
      </c>
      <c r="I963" s="6" t="n">
        <v>50</v>
      </c>
      <c r="J963" s="6" t="s">
        <v>39</v>
      </c>
      <c r="K963" s="7" t="b">
        <f aca="false">TRUE()</f>
        <v>1</v>
      </c>
    </row>
    <row r="964" customFormat="false" ht="15" hidden="false" customHeight="false" outlineLevel="0" collapsed="false">
      <c r="A964" s="6" t="n">
        <v>307465</v>
      </c>
      <c r="B964" s="6" t="s">
        <v>1464</v>
      </c>
      <c r="C964" s="6" t="s">
        <v>1465</v>
      </c>
      <c r="D964" s="6" t="s">
        <v>1456</v>
      </c>
      <c r="E964" s="6" t="s">
        <v>35</v>
      </c>
      <c r="F964" s="6" t="n">
        <v>29.745073</v>
      </c>
      <c r="G964" s="6" t="n">
        <v>76.972687</v>
      </c>
      <c r="H964" s="6" t="n">
        <v>2</v>
      </c>
      <c r="I964" s="6" t="n">
        <v>50</v>
      </c>
      <c r="J964" s="6" t="s">
        <v>39</v>
      </c>
      <c r="K964" s="7" t="b">
        <f aca="false">TRUE()</f>
        <v>1</v>
      </c>
    </row>
    <row r="965" customFormat="false" ht="15" hidden="false" customHeight="false" outlineLevel="0" collapsed="false">
      <c r="A965" s="6" t="n">
        <v>307464</v>
      </c>
      <c r="B965" s="6" t="s">
        <v>1466</v>
      </c>
      <c r="C965" s="6" t="s">
        <v>1467</v>
      </c>
      <c r="D965" s="6" t="s">
        <v>1456</v>
      </c>
      <c r="E965" s="6" t="s">
        <v>35</v>
      </c>
      <c r="F965" s="6" t="n">
        <v>29.726906</v>
      </c>
      <c r="G965" s="6" t="n">
        <v>76.978632</v>
      </c>
      <c r="H965" s="6" t="n">
        <v>1</v>
      </c>
      <c r="I965" s="6" t="n">
        <v>30</v>
      </c>
      <c r="J965" s="6" t="s">
        <v>36</v>
      </c>
      <c r="K965" s="7" t="b">
        <f aca="false">FALSE()</f>
        <v>0</v>
      </c>
    </row>
    <row r="966" customFormat="false" ht="15" hidden="false" customHeight="false" outlineLevel="0" collapsed="false">
      <c r="A966" s="6" t="n">
        <v>307463</v>
      </c>
      <c r="B966" s="6" t="s">
        <v>1455</v>
      </c>
      <c r="C966" s="6" t="s">
        <v>1468</v>
      </c>
      <c r="D966" s="6" t="s">
        <v>1456</v>
      </c>
      <c r="E966" s="6" t="s">
        <v>35</v>
      </c>
      <c r="F966" s="6" t="n">
        <v>29.157943</v>
      </c>
      <c r="G966" s="6" t="n">
        <v>77.035866</v>
      </c>
      <c r="H966" s="6" t="n">
        <v>1</v>
      </c>
      <c r="I966" s="6" t="n">
        <v>25</v>
      </c>
      <c r="J966" s="6" t="s">
        <v>36</v>
      </c>
      <c r="K966" s="7" t="b">
        <f aca="false">FALSE()</f>
        <v>0</v>
      </c>
    </row>
    <row r="967" customFormat="false" ht="15" hidden="false" customHeight="false" outlineLevel="0" collapsed="false">
      <c r="A967" s="6" t="n">
        <v>307462</v>
      </c>
      <c r="B967" s="6" t="s">
        <v>1455</v>
      </c>
      <c r="C967" s="6" t="s">
        <v>1468</v>
      </c>
      <c r="D967" s="6" t="s">
        <v>1456</v>
      </c>
      <c r="E967" s="6" t="s">
        <v>35</v>
      </c>
      <c r="F967" s="6" t="n">
        <v>29.004736</v>
      </c>
      <c r="G967" s="6" t="n">
        <v>77.032644</v>
      </c>
      <c r="H967" s="6" t="n">
        <v>2</v>
      </c>
      <c r="I967" s="6" t="n">
        <v>25</v>
      </c>
      <c r="J967" s="6" t="s">
        <v>36</v>
      </c>
      <c r="K967" s="7" t="b">
        <f aca="false">FALSE()</f>
        <v>0</v>
      </c>
    </row>
    <row r="968" customFormat="false" ht="15" hidden="false" customHeight="false" outlineLevel="0" collapsed="false">
      <c r="A968" s="6" t="n">
        <v>307460</v>
      </c>
      <c r="B968" s="6" t="s">
        <v>1469</v>
      </c>
      <c r="C968" s="6" t="s">
        <v>1470</v>
      </c>
      <c r="D968" s="6" t="s">
        <v>1471</v>
      </c>
      <c r="E968" s="6" t="s">
        <v>35</v>
      </c>
      <c r="F968" s="6" t="n">
        <v>23.338355</v>
      </c>
      <c r="G968" s="6" t="n">
        <v>72.70008</v>
      </c>
      <c r="H968" s="6" t="n">
        <v>2</v>
      </c>
      <c r="I968" s="6" t="n">
        <v>30</v>
      </c>
      <c r="J968" s="6" t="s">
        <v>36</v>
      </c>
      <c r="K968" s="7" t="b">
        <f aca="false">FALSE()</f>
        <v>0</v>
      </c>
    </row>
    <row r="969" customFormat="false" ht="15" hidden="false" customHeight="false" outlineLevel="0" collapsed="false">
      <c r="A969" s="6" t="n">
        <v>307459</v>
      </c>
      <c r="B969" s="6" t="s">
        <v>1472</v>
      </c>
      <c r="C969" s="6" t="s">
        <v>1473</v>
      </c>
      <c r="D969" s="6" t="s">
        <v>1471</v>
      </c>
      <c r="E969" s="6" t="s">
        <v>35</v>
      </c>
      <c r="F969" s="6" t="n">
        <v>23.428885</v>
      </c>
      <c r="G969" s="6" t="n">
        <v>72.394159</v>
      </c>
      <c r="H969" s="6" t="n">
        <v>2</v>
      </c>
      <c r="I969" s="6" t="n">
        <v>30</v>
      </c>
      <c r="J969" s="6" t="s">
        <v>36</v>
      </c>
      <c r="K969" s="7" t="b">
        <f aca="false">FALSE()</f>
        <v>0</v>
      </c>
    </row>
    <row r="970" customFormat="false" ht="15" hidden="false" customHeight="false" outlineLevel="0" collapsed="false">
      <c r="A970" s="6" t="n">
        <v>307458</v>
      </c>
      <c r="B970" s="6" t="s">
        <v>1474</v>
      </c>
      <c r="C970" s="6" t="s">
        <v>1475</v>
      </c>
      <c r="D970" s="6" t="s">
        <v>1471</v>
      </c>
      <c r="E970" s="6" t="s">
        <v>35</v>
      </c>
      <c r="F970" s="6" t="n">
        <v>23.446523</v>
      </c>
      <c r="G970" s="6" t="n">
        <v>72.39375</v>
      </c>
      <c r="H970" s="6" t="n">
        <v>2</v>
      </c>
      <c r="I970" s="6" t="n">
        <v>30</v>
      </c>
      <c r="J970" s="6" t="s">
        <v>36</v>
      </c>
      <c r="K970" s="7" t="b">
        <f aca="false">FALSE()</f>
        <v>0</v>
      </c>
    </row>
    <row r="971" customFormat="false" ht="15" hidden="false" customHeight="false" outlineLevel="0" collapsed="false">
      <c r="A971" s="6" t="n">
        <v>307457</v>
      </c>
      <c r="B971" s="6" t="s">
        <v>1476</v>
      </c>
      <c r="C971" s="6" t="s">
        <v>1477</v>
      </c>
      <c r="D971" s="6" t="s">
        <v>1471</v>
      </c>
      <c r="E971" s="6" t="s">
        <v>35</v>
      </c>
      <c r="F971" s="6" t="n">
        <v>23.091109</v>
      </c>
      <c r="G971" s="6" t="n">
        <v>72.030014</v>
      </c>
      <c r="H971" s="6" t="n">
        <v>2</v>
      </c>
      <c r="I971" s="6" t="n">
        <v>30</v>
      </c>
      <c r="J971" s="6" t="s">
        <v>36</v>
      </c>
      <c r="K971" s="7" t="b">
        <f aca="false">FALSE()</f>
        <v>0</v>
      </c>
    </row>
    <row r="972" customFormat="false" ht="15" hidden="false" customHeight="false" outlineLevel="0" collapsed="false">
      <c r="A972" s="6" t="n">
        <v>307456</v>
      </c>
      <c r="B972" s="6" t="s">
        <v>1478</v>
      </c>
      <c r="C972" s="6" t="s">
        <v>1479</v>
      </c>
      <c r="D972" s="6" t="s">
        <v>1471</v>
      </c>
      <c r="E972" s="6" t="s">
        <v>35</v>
      </c>
      <c r="F972" s="6" t="n">
        <v>23.751381</v>
      </c>
      <c r="G972" s="6" t="n">
        <v>72.366972</v>
      </c>
      <c r="H972" s="6" t="n">
        <v>2</v>
      </c>
      <c r="I972" s="6" t="n">
        <v>30</v>
      </c>
      <c r="J972" s="6" t="s">
        <v>36</v>
      </c>
      <c r="K972" s="7" t="b">
        <f aca="false">FALSE()</f>
        <v>0</v>
      </c>
    </row>
    <row r="973" customFormat="false" ht="15" hidden="false" customHeight="false" outlineLevel="0" collapsed="false">
      <c r="A973" s="6" t="n">
        <v>307455</v>
      </c>
      <c r="B973" s="6" t="s">
        <v>1480</v>
      </c>
      <c r="C973" s="6" t="s">
        <v>1481</v>
      </c>
      <c r="D973" s="6" t="s">
        <v>1471</v>
      </c>
      <c r="E973" s="6" t="s">
        <v>35</v>
      </c>
      <c r="F973" s="6" t="n">
        <v>24.065471</v>
      </c>
      <c r="G973" s="6" t="n">
        <v>72.393312</v>
      </c>
      <c r="H973" s="6" t="n">
        <v>2</v>
      </c>
      <c r="I973" s="6" t="n">
        <v>30</v>
      </c>
      <c r="J973" s="6" t="s">
        <v>36</v>
      </c>
      <c r="K973" s="7" t="b">
        <f aca="false">FALSE()</f>
        <v>0</v>
      </c>
    </row>
    <row r="974" customFormat="false" ht="15" hidden="false" customHeight="false" outlineLevel="0" collapsed="false">
      <c r="A974" s="6" t="n">
        <v>307454</v>
      </c>
      <c r="B974" s="6" t="s">
        <v>1482</v>
      </c>
      <c r="C974" s="6" t="s">
        <v>1483</v>
      </c>
      <c r="D974" s="6" t="s">
        <v>1484</v>
      </c>
      <c r="E974" s="6" t="s">
        <v>35</v>
      </c>
      <c r="F974" s="6" t="n">
        <v>24.49439</v>
      </c>
      <c r="G974" s="6" t="n">
        <v>73.656474</v>
      </c>
      <c r="H974" s="6" t="n">
        <v>4</v>
      </c>
      <c r="I974" s="6" t="n">
        <v>30</v>
      </c>
      <c r="J974" s="6" t="s">
        <v>36</v>
      </c>
      <c r="K974" s="7" t="b">
        <f aca="false">FALSE()</f>
        <v>0</v>
      </c>
    </row>
    <row r="975" customFormat="false" ht="15" hidden="false" customHeight="false" outlineLevel="0" collapsed="false">
      <c r="A975" s="6" t="n">
        <v>307453</v>
      </c>
      <c r="B975" s="6" t="s">
        <v>1485</v>
      </c>
      <c r="C975" s="6" t="s">
        <v>1486</v>
      </c>
      <c r="D975" s="6" t="s">
        <v>1484</v>
      </c>
      <c r="E975" s="6" t="s">
        <v>35</v>
      </c>
      <c r="F975" s="6" t="n">
        <v>24.59119</v>
      </c>
      <c r="G975" s="6" t="n">
        <v>74.696859</v>
      </c>
      <c r="H975" s="6" t="n">
        <v>2</v>
      </c>
      <c r="I975" s="6" t="n">
        <v>30</v>
      </c>
      <c r="J975" s="6" t="s">
        <v>36</v>
      </c>
      <c r="K975" s="7" t="b">
        <f aca="false">FALSE()</f>
        <v>0</v>
      </c>
    </row>
    <row r="976" customFormat="false" ht="15" hidden="false" customHeight="false" outlineLevel="0" collapsed="false">
      <c r="A976" s="6" t="n">
        <v>307452</v>
      </c>
      <c r="B976" s="6" t="s">
        <v>1487</v>
      </c>
      <c r="C976" s="6" t="s">
        <v>1488</v>
      </c>
      <c r="D976" s="6" t="s">
        <v>1484</v>
      </c>
      <c r="E976" s="6" t="s">
        <v>35</v>
      </c>
      <c r="F976" s="6" t="n">
        <v>24.834306</v>
      </c>
      <c r="G976" s="6" t="n">
        <v>74.569742</v>
      </c>
      <c r="H976" s="6" t="n">
        <v>4</v>
      </c>
      <c r="I976" s="6" t="n">
        <v>30</v>
      </c>
      <c r="J976" s="6" t="s">
        <v>36</v>
      </c>
      <c r="K976" s="7" t="b">
        <f aca="false">FALSE()</f>
        <v>0</v>
      </c>
    </row>
    <row r="977" customFormat="false" ht="15" hidden="false" customHeight="false" outlineLevel="0" collapsed="false">
      <c r="A977" s="6" t="n">
        <v>307382</v>
      </c>
      <c r="B977" s="6" t="s">
        <v>1455</v>
      </c>
      <c r="C977" s="6" t="s">
        <v>1489</v>
      </c>
      <c r="D977" s="6" t="s">
        <v>1484</v>
      </c>
      <c r="E977" s="6" t="s">
        <v>35</v>
      </c>
      <c r="F977" s="6" t="n">
        <v>26.426093</v>
      </c>
      <c r="G977" s="6" t="n">
        <v>74.681438</v>
      </c>
      <c r="H977" s="6" t="n">
        <v>2</v>
      </c>
      <c r="I977" s="6" t="n">
        <v>50</v>
      </c>
      <c r="J977" s="6" t="s">
        <v>39</v>
      </c>
      <c r="K977" s="7" t="b">
        <f aca="false">TRUE()</f>
        <v>1</v>
      </c>
    </row>
    <row r="978" customFormat="false" ht="15" hidden="false" customHeight="false" outlineLevel="0" collapsed="false">
      <c r="A978" s="6" t="n">
        <v>307381</v>
      </c>
      <c r="B978" s="6" t="s">
        <v>1490</v>
      </c>
      <c r="C978" s="6" t="s">
        <v>1491</v>
      </c>
      <c r="D978" s="6" t="s">
        <v>1484</v>
      </c>
      <c r="E978" s="6" t="s">
        <v>35</v>
      </c>
      <c r="F978" s="6" t="n">
        <v>26.593029</v>
      </c>
      <c r="G978" s="6" t="n">
        <v>74.927095</v>
      </c>
      <c r="H978" s="6" t="n">
        <v>2</v>
      </c>
      <c r="I978" s="6" t="n">
        <v>30</v>
      </c>
      <c r="J978" s="6" t="s">
        <v>36</v>
      </c>
      <c r="K978" s="7" t="b">
        <f aca="false">FALSE()</f>
        <v>0</v>
      </c>
    </row>
    <row r="979" customFormat="false" ht="15" hidden="false" customHeight="false" outlineLevel="0" collapsed="false">
      <c r="A979" s="6" t="n">
        <v>307380</v>
      </c>
      <c r="B979" s="6" t="s">
        <v>1492</v>
      </c>
      <c r="C979" s="6" t="s">
        <v>1493</v>
      </c>
      <c r="D979" s="6" t="s">
        <v>1484</v>
      </c>
      <c r="E979" s="6" t="s">
        <v>35</v>
      </c>
      <c r="F979" s="6" t="n">
        <v>26.746037</v>
      </c>
      <c r="G979" s="6" t="n">
        <v>75.321425</v>
      </c>
      <c r="H979" s="6" t="n">
        <v>2</v>
      </c>
      <c r="I979" s="6" t="n">
        <v>30</v>
      </c>
      <c r="J979" s="6" t="s">
        <v>36</v>
      </c>
      <c r="K979" s="7" t="b">
        <f aca="false">FALSE()</f>
        <v>0</v>
      </c>
    </row>
    <row r="980" customFormat="false" ht="15" hidden="false" customHeight="false" outlineLevel="0" collapsed="false">
      <c r="A980" s="6" t="n">
        <v>307379</v>
      </c>
      <c r="B980" s="6" t="s">
        <v>1466</v>
      </c>
      <c r="C980" s="6" t="s">
        <v>1494</v>
      </c>
      <c r="D980" s="6" t="s">
        <v>1484</v>
      </c>
      <c r="E980" s="6" t="s">
        <v>35</v>
      </c>
      <c r="F980" s="6" t="n">
        <v>26.807015</v>
      </c>
      <c r="G980" s="6" t="n">
        <v>75.64265</v>
      </c>
      <c r="H980" s="6" t="n">
        <v>2</v>
      </c>
      <c r="I980" s="6" t="n">
        <v>30</v>
      </c>
      <c r="J980" s="6" t="s">
        <v>36</v>
      </c>
      <c r="K980" s="7" t="b">
        <f aca="false">FALSE()</f>
        <v>0</v>
      </c>
    </row>
    <row r="981" customFormat="false" ht="15" hidden="false" customHeight="false" outlineLevel="0" collapsed="false">
      <c r="A981" s="6" t="n">
        <v>307378</v>
      </c>
      <c r="B981" s="6" t="s">
        <v>1490</v>
      </c>
      <c r="C981" s="6" t="s">
        <v>1495</v>
      </c>
      <c r="D981" s="6" t="s">
        <v>1484</v>
      </c>
      <c r="E981" s="6" t="s">
        <v>35</v>
      </c>
      <c r="F981" s="6" t="n">
        <v>25.160057</v>
      </c>
      <c r="G981" s="6" t="n">
        <v>75.881763</v>
      </c>
      <c r="H981" s="6" t="n">
        <v>2</v>
      </c>
      <c r="I981" s="6" t="n">
        <v>30</v>
      </c>
      <c r="J981" s="6" t="s">
        <v>36</v>
      </c>
      <c r="K981" s="7" t="b">
        <f aca="false">FALSE()</f>
        <v>0</v>
      </c>
    </row>
    <row r="982" customFormat="false" ht="15" hidden="false" customHeight="false" outlineLevel="0" collapsed="false">
      <c r="A982" s="6" t="n">
        <v>307376</v>
      </c>
      <c r="B982" s="6" t="s">
        <v>1466</v>
      </c>
      <c r="C982" s="6" t="s">
        <v>1496</v>
      </c>
      <c r="D982" s="6" t="s">
        <v>1484</v>
      </c>
      <c r="E982" s="6" t="s">
        <v>35</v>
      </c>
      <c r="F982" s="6" t="n">
        <v>25.14772</v>
      </c>
      <c r="G982" s="6" t="n">
        <v>75.324367</v>
      </c>
      <c r="H982" s="6" t="n">
        <v>2</v>
      </c>
      <c r="I982" s="6" t="n">
        <v>30</v>
      </c>
      <c r="J982" s="6" t="s">
        <v>36</v>
      </c>
      <c r="K982" s="7" t="b">
        <f aca="false">FALSE()</f>
        <v>0</v>
      </c>
    </row>
    <row r="983" customFormat="false" ht="15" hidden="false" customHeight="false" outlineLevel="0" collapsed="false">
      <c r="A983" s="6" t="n">
        <v>307296</v>
      </c>
      <c r="B983" s="6" t="s">
        <v>1497</v>
      </c>
      <c r="C983" s="6" t="s">
        <v>1498</v>
      </c>
      <c r="D983" s="6" t="s">
        <v>1484</v>
      </c>
      <c r="E983" s="6" t="s">
        <v>35</v>
      </c>
      <c r="F983" s="6" t="n">
        <v>25.932108</v>
      </c>
      <c r="G983" s="6" t="n">
        <v>72.226824</v>
      </c>
      <c r="H983" s="6" t="n">
        <v>2</v>
      </c>
      <c r="I983" s="6" t="n">
        <v>30</v>
      </c>
      <c r="J983" s="6" t="s">
        <v>36</v>
      </c>
      <c r="K983" s="7" t="b">
        <f aca="false">FALSE()</f>
        <v>0</v>
      </c>
    </row>
    <row r="984" customFormat="false" ht="15" hidden="false" customHeight="false" outlineLevel="0" collapsed="false">
      <c r="A984" s="6" t="n">
        <v>307295</v>
      </c>
      <c r="B984" s="6" t="s">
        <v>1490</v>
      </c>
      <c r="C984" s="6" t="s">
        <v>1499</v>
      </c>
      <c r="D984" s="6" t="s">
        <v>1484</v>
      </c>
      <c r="E984" s="6" t="s">
        <v>35</v>
      </c>
      <c r="F984" s="6" t="n">
        <v>26.261765</v>
      </c>
      <c r="G984" s="6" t="n">
        <v>73.00008</v>
      </c>
      <c r="H984" s="6" t="n">
        <v>2</v>
      </c>
      <c r="I984" s="6" t="n">
        <v>30</v>
      </c>
      <c r="J984" s="6" t="s">
        <v>36</v>
      </c>
      <c r="K984" s="7" t="b">
        <f aca="false">FALSE()</f>
        <v>0</v>
      </c>
    </row>
    <row r="985" customFormat="false" ht="15" hidden="false" customHeight="false" outlineLevel="0" collapsed="false">
      <c r="A985" s="6" t="n">
        <v>307294</v>
      </c>
      <c r="B985" s="6" t="s">
        <v>1466</v>
      </c>
      <c r="C985" s="6" t="s">
        <v>1499</v>
      </c>
      <c r="D985" s="6" t="s">
        <v>1484</v>
      </c>
      <c r="E985" s="6" t="s">
        <v>35</v>
      </c>
      <c r="F985" s="6" t="n">
        <v>26.317608</v>
      </c>
      <c r="G985" s="6" t="n">
        <v>72.868561</v>
      </c>
      <c r="H985" s="6" t="n">
        <v>1</v>
      </c>
      <c r="I985" s="6" t="n">
        <v>30</v>
      </c>
      <c r="J985" s="6" t="s">
        <v>36</v>
      </c>
      <c r="K985" s="7" t="b">
        <f aca="false">FALSE()</f>
        <v>0</v>
      </c>
    </row>
    <row r="986" customFormat="false" ht="15" hidden="false" customHeight="false" outlineLevel="0" collapsed="false">
      <c r="A986" s="6" t="n">
        <v>307293</v>
      </c>
      <c r="B986" s="6" t="s">
        <v>1490</v>
      </c>
      <c r="C986" s="6" t="s">
        <v>1500</v>
      </c>
      <c r="D986" s="6" t="s">
        <v>1484</v>
      </c>
      <c r="E986" s="6" t="s">
        <v>35</v>
      </c>
      <c r="F986" s="6" t="n">
        <v>27.667036</v>
      </c>
      <c r="G986" s="6" t="n">
        <v>73.368207</v>
      </c>
      <c r="H986" s="6" t="n">
        <v>2</v>
      </c>
      <c r="I986" s="6" t="n">
        <v>30</v>
      </c>
      <c r="J986" s="6" t="s">
        <v>36</v>
      </c>
      <c r="K986" s="7" t="b">
        <f aca="false">FALSE()</f>
        <v>0</v>
      </c>
    </row>
    <row r="987" customFormat="false" ht="15" hidden="false" customHeight="false" outlineLevel="0" collapsed="false">
      <c r="A987" s="6" t="n">
        <v>307292</v>
      </c>
      <c r="B987" s="6" t="s">
        <v>1501</v>
      </c>
      <c r="C987" s="6" t="s">
        <v>1502</v>
      </c>
      <c r="D987" s="6" t="s">
        <v>1484</v>
      </c>
      <c r="E987" s="6" t="s">
        <v>35</v>
      </c>
      <c r="F987" s="6" t="n">
        <v>28.026865</v>
      </c>
      <c r="G987" s="6" t="n">
        <v>73.264094</v>
      </c>
      <c r="H987" s="6" t="n">
        <v>2</v>
      </c>
      <c r="I987" s="6" t="n">
        <v>30</v>
      </c>
      <c r="J987" s="6" t="s">
        <v>36</v>
      </c>
      <c r="K987" s="7" t="b">
        <f aca="false">FALSE()</f>
        <v>0</v>
      </c>
    </row>
    <row r="988" customFormat="false" ht="15" hidden="false" customHeight="false" outlineLevel="0" collapsed="false">
      <c r="A988" s="6" t="n">
        <v>307291</v>
      </c>
      <c r="B988" s="6" t="s">
        <v>1455</v>
      </c>
      <c r="C988" s="6" t="s">
        <v>1503</v>
      </c>
      <c r="D988" s="6" t="s">
        <v>1484</v>
      </c>
      <c r="E988" s="6" t="s">
        <v>35</v>
      </c>
      <c r="F988" s="6" t="n">
        <v>28.056081</v>
      </c>
      <c r="G988" s="6" t="n">
        <v>74.604267</v>
      </c>
      <c r="H988" s="6" t="n">
        <v>2</v>
      </c>
      <c r="I988" s="6" t="n">
        <v>30</v>
      </c>
      <c r="J988" s="6" t="s">
        <v>36</v>
      </c>
      <c r="K988" s="7" t="b">
        <f aca="false">FALSE()</f>
        <v>0</v>
      </c>
    </row>
    <row r="989" customFormat="false" ht="15" hidden="false" customHeight="false" outlineLevel="0" collapsed="false">
      <c r="A989" s="6" t="n">
        <v>307290</v>
      </c>
      <c r="B989" s="6" t="s">
        <v>1490</v>
      </c>
      <c r="C989" s="6" t="s">
        <v>1494</v>
      </c>
      <c r="D989" s="6" t="s">
        <v>1484</v>
      </c>
      <c r="E989" s="6" t="s">
        <v>35</v>
      </c>
      <c r="F989" s="6" t="n">
        <v>27.679819</v>
      </c>
      <c r="G989" s="6" t="n">
        <v>75.091262</v>
      </c>
      <c r="H989" s="6" t="n">
        <v>2</v>
      </c>
      <c r="I989" s="6" t="n">
        <v>30</v>
      </c>
      <c r="J989" s="6" t="s">
        <v>36</v>
      </c>
      <c r="K989" s="7" t="b">
        <f aca="false">FALSE()</f>
        <v>0</v>
      </c>
    </row>
    <row r="990" customFormat="false" ht="15" hidden="false" customHeight="false" outlineLevel="0" collapsed="false">
      <c r="A990" s="6" t="n">
        <v>307288</v>
      </c>
      <c r="B990" s="6" t="s">
        <v>1504</v>
      </c>
      <c r="C990" s="6" t="s">
        <v>1505</v>
      </c>
      <c r="D990" s="6" t="s">
        <v>1484</v>
      </c>
      <c r="E990" s="6" t="s">
        <v>35</v>
      </c>
      <c r="F990" s="6" t="n">
        <v>27.978349</v>
      </c>
      <c r="G990" s="6" t="n">
        <v>76.400486</v>
      </c>
      <c r="H990" s="6" t="n">
        <v>1</v>
      </c>
      <c r="I990" s="6" t="n">
        <v>30</v>
      </c>
      <c r="J990" s="6" t="s">
        <v>36</v>
      </c>
      <c r="K990" s="7" t="b">
        <f aca="false">FALSE()</f>
        <v>0</v>
      </c>
    </row>
    <row r="991" customFormat="false" ht="15" hidden="false" customHeight="false" outlineLevel="0" collapsed="false">
      <c r="A991" s="6" t="n">
        <v>307284</v>
      </c>
      <c r="B991" s="6" t="s">
        <v>1490</v>
      </c>
      <c r="C991" s="6" t="s">
        <v>1506</v>
      </c>
      <c r="D991" s="6" t="s">
        <v>1484</v>
      </c>
      <c r="E991" s="6" t="s">
        <v>35</v>
      </c>
      <c r="F991" s="6" t="n">
        <v>27.345804</v>
      </c>
      <c r="G991" s="6" t="n">
        <v>75.602122</v>
      </c>
      <c r="H991" s="6" t="n">
        <v>2</v>
      </c>
      <c r="I991" s="6" t="n">
        <v>30</v>
      </c>
      <c r="J991" s="6" t="s">
        <v>36</v>
      </c>
      <c r="K991" s="7" t="b">
        <f aca="false">FALSE()</f>
        <v>0</v>
      </c>
    </row>
    <row r="992" customFormat="false" ht="15" hidden="false" customHeight="false" outlineLevel="0" collapsed="false">
      <c r="A992" s="6" t="n">
        <v>307283</v>
      </c>
      <c r="B992" s="6" t="s">
        <v>1507</v>
      </c>
      <c r="C992" s="6" t="s">
        <v>1508</v>
      </c>
      <c r="D992" s="6" t="s">
        <v>1484</v>
      </c>
      <c r="E992" s="6" t="s">
        <v>35</v>
      </c>
      <c r="F992" s="6" t="n">
        <v>27.342292</v>
      </c>
      <c r="G992" s="6" t="n">
        <v>75.602684</v>
      </c>
      <c r="H992" s="6" t="n">
        <v>1</v>
      </c>
      <c r="I992" s="6" t="n">
        <v>25</v>
      </c>
      <c r="J992" s="6" t="s">
        <v>36</v>
      </c>
      <c r="K992" s="7" t="b">
        <f aca="false">FALSE()</f>
        <v>0</v>
      </c>
    </row>
    <row r="993" customFormat="false" ht="15" hidden="false" customHeight="false" outlineLevel="0" collapsed="false">
      <c r="A993" s="6" t="n">
        <v>307282</v>
      </c>
      <c r="B993" s="6" t="s">
        <v>1466</v>
      </c>
      <c r="C993" s="6" t="s">
        <v>1509</v>
      </c>
      <c r="D993" s="6" t="s">
        <v>1484</v>
      </c>
      <c r="E993" s="6" t="s">
        <v>35</v>
      </c>
      <c r="F993" s="6" t="n">
        <v>27.488589</v>
      </c>
      <c r="G993" s="6" t="n">
        <v>76.052866</v>
      </c>
      <c r="H993" s="6" t="n">
        <v>2</v>
      </c>
      <c r="I993" s="6" t="n">
        <v>30</v>
      </c>
      <c r="J993" s="6" t="s">
        <v>36</v>
      </c>
      <c r="K993" s="7" t="b">
        <f aca="false">FALSE()</f>
        <v>0</v>
      </c>
    </row>
    <row r="994" customFormat="false" ht="15" hidden="false" customHeight="false" outlineLevel="0" collapsed="false">
      <c r="A994" s="6" t="n">
        <v>307281</v>
      </c>
      <c r="B994" s="6" t="s">
        <v>1492</v>
      </c>
      <c r="C994" s="6" t="s">
        <v>1510</v>
      </c>
      <c r="D994" s="6" t="s">
        <v>1484</v>
      </c>
      <c r="E994" s="6" t="s">
        <v>35</v>
      </c>
      <c r="F994" s="6" t="n">
        <v>27.287328</v>
      </c>
      <c r="G994" s="6" t="n">
        <v>76.773232</v>
      </c>
      <c r="H994" s="6" t="n">
        <v>2</v>
      </c>
      <c r="I994" s="6" t="n">
        <v>30</v>
      </c>
      <c r="J994" s="6" t="s">
        <v>36</v>
      </c>
      <c r="K994" s="7" t="b">
        <f aca="false">FALSE()</f>
        <v>0</v>
      </c>
    </row>
    <row r="995" customFormat="false" ht="15" hidden="false" customHeight="false" outlineLevel="0" collapsed="false">
      <c r="A995" s="6" t="n">
        <v>307151</v>
      </c>
      <c r="B995" s="6" t="s">
        <v>1511</v>
      </c>
      <c r="C995" s="6" t="s">
        <v>1512</v>
      </c>
      <c r="D995" s="6" t="s">
        <v>1471</v>
      </c>
      <c r="E995" s="6" t="s">
        <v>35</v>
      </c>
      <c r="F995" s="6" t="n">
        <v>22.437681</v>
      </c>
      <c r="G995" s="6" t="n">
        <v>69.963374</v>
      </c>
      <c r="H995" s="6" t="n">
        <v>2</v>
      </c>
      <c r="I995" s="6" t="n">
        <v>40</v>
      </c>
      <c r="J995" s="6" t="s">
        <v>36</v>
      </c>
      <c r="K995" s="7" t="b">
        <f aca="false">FALSE()</f>
        <v>0</v>
      </c>
    </row>
    <row r="996" customFormat="false" ht="15" hidden="false" customHeight="false" outlineLevel="0" collapsed="false">
      <c r="A996" s="6" t="n">
        <v>307150</v>
      </c>
      <c r="B996" s="6" t="s">
        <v>1513</v>
      </c>
      <c r="C996" s="6" t="s">
        <v>1514</v>
      </c>
      <c r="D996" s="6" t="s">
        <v>1471</v>
      </c>
      <c r="E996" s="6" t="s">
        <v>35</v>
      </c>
      <c r="F996" s="6" t="n">
        <v>23.654372</v>
      </c>
      <c r="G996" s="6" t="n">
        <v>73.316787</v>
      </c>
      <c r="H996" s="6" t="n">
        <v>2</v>
      </c>
      <c r="I996" s="6" t="n">
        <v>40</v>
      </c>
      <c r="J996" s="6" t="s">
        <v>36</v>
      </c>
      <c r="K996" s="7" t="b">
        <f aca="false">FALSE()</f>
        <v>0</v>
      </c>
    </row>
    <row r="997" customFormat="false" ht="15" hidden="false" customHeight="false" outlineLevel="0" collapsed="false">
      <c r="A997" s="6" t="n">
        <v>307149</v>
      </c>
      <c r="B997" s="6" t="s">
        <v>1466</v>
      </c>
      <c r="C997" s="6" t="s">
        <v>1483</v>
      </c>
      <c r="D997" s="6" t="s">
        <v>1484</v>
      </c>
      <c r="E997" s="6" t="s">
        <v>35</v>
      </c>
      <c r="F997" s="6" t="n">
        <v>24.594579</v>
      </c>
      <c r="G997" s="6" t="n">
        <v>73.768708</v>
      </c>
      <c r="H997" s="6" t="n">
        <v>1</v>
      </c>
      <c r="I997" s="6" t="n">
        <v>30</v>
      </c>
      <c r="J997" s="6" t="s">
        <v>36</v>
      </c>
      <c r="K997" s="7" t="b">
        <f aca="false">FALSE()</f>
        <v>0</v>
      </c>
    </row>
    <row r="998" customFormat="false" ht="15" hidden="false" customHeight="false" outlineLevel="0" collapsed="false">
      <c r="A998" s="6" t="n">
        <v>307148</v>
      </c>
      <c r="B998" s="6" t="s">
        <v>1455</v>
      </c>
      <c r="C998" s="6" t="s">
        <v>1515</v>
      </c>
      <c r="D998" s="6" t="s">
        <v>1484</v>
      </c>
      <c r="E998" s="6" t="s">
        <v>35</v>
      </c>
      <c r="F998" s="6" t="n">
        <v>24.61225</v>
      </c>
      <c r="G998" s="6" t="n">
        <v>74.072816</v>
      </c>
      <c r="H998" s="6" t="n">
        <v>1</v>
      </c>
      <c r="I998" s="6" t="n">
        <v>30</v>
      </c>
      <c r="J998" s="6" t="s">
        <v>36</v>
      </c>
      <c r="K998" s="7" t="b">
        <f aca="false">FALSE()</f>
        <v>0</v>
      </c>
    </row>
    <row r="999" customFormat="false" ht="15" hidden="false" customHeight="false" outlineLevel="0" collapsed="false">
      <c r="A999" s="6" t="n">
        <v>307147</v>
      </c>
      <c r="B999" s="6" t="s">
        <v>1516</v>
      </c>
      <c r="C999" s="6" t="s">
        <v>1517</v>
      </c>
      <c r="D999" s="6" t="s">
        <v>1484</v>
      </c>
      <c r="E999" s="6" t="s">
        <v>35</v>
      </c>
      <c r="F999" s="6" t="n">
        <v>23.9319</v>
      </c>
      <c r="G999" s="6" t="n">
        <v>73.568555</v>
      </c>
      <c r="H999" s="6" t="n">
        <v>2</v>
      </c>
      <c r="I999" s="6" t="n">
        <v>30</v>
      </c>
      <c r="J999" s="6" t="s">
        <v>36</v>
      </c>
      <c r="K999" s="7" t="b">
        <f aca="false">FALSE()</f>
        <v>0</v>
      </c>
    </row>
    <row r="1000" customFormat="false" ht="15" hidden="false" customHeight="false" outlineLevel="0" collapsed="false">
      <c r="A1000" s="6" t="n">
        <v>307146</v>
      </c>
      <c r="B1000" s="6" t="s">
        <v>1518</v>
      </c>
      <c r="C1000" s="6" t="s">
        <v>1519</v>
      </c>
      <c r="D1000" s="6" t="s">
        <v>1484</v>
      </c>
      <c r="E1000" s="6" t="s">
        <v>35</v>
      </c>
      <c r="F1000" s="6" t="n">
        <v>23.959043</v>
      </c>
      <c r="G1000" s="6" t="n">
        <v>73.581657</v>
      </c>
      <c r="H1000" s="6" t="n">
        <v>2</v>
      </c>
      <c r="I1000" s="6" t="n">
        <v>30</v>
      </c>
      <c r="J1000" s="6" t="s">
        <v>36</v>
      </c>
      <c r="K1000" s="7" t="b">
        <f aca="false">FALSE()</f>
        <v>0</v>
      </c>
    </row>
    <row r="1001" customFormat="false" ht="15" hidden="false" customHeight="false" outlineLevel="0" collapsed="false">
      <c r="A1001" s="6" t="n">
        <v>307145</v>
      </c>
      <c r="B1001" s="6" t="s">
        <v>1520</v>
      </c>
      <c r="C1001" s="6" t="s">
        <v>1521</v>
      </c>
      <c r="D1001" s="6" t="s">
        <v>1484</v>
      </c>
      <c r="E1001" s="6" t="s">
        <v>35</v>
      </c>
      <c r="F1001" s="6" t="n">
        <v>25.152314</v>
      </c>
      <c r="G1001" s="6" t="n">
        <v>74.623213</v>
      </c>
      <c r="H1001" s="6" t="n">
        <v>2</v>
      </c>
      <c r="I1001" s="6" t="n">
        <v>30</v>
      </c>
      <c r="J1001" s="6" t="s">
        <v>36</v>
      </c>
      <c r="K1001" s="7" t="b">
        <f aca="false">FALSE()</f>
        <v>0</v>
      </c>
    </row>
    <row r="1002" customFormat="false" ht="15" hidden="false" customHeight="false" outlineLevel="0" collapsed="false">
      <c r="A1002" s="6" t="n">
        <v>307144</v>
      </c>
      <c r="B1002" s="6" t="s">
        <v>1522</v>
      </c>
      <c r="C1002" s="6" t="s">
        <v>1523</v>
      </c>
      <c r="D1002" s="6" t="s">
        <v>1471</v>
      </c>
      <c r="E1002" s="6" t="s">
        <v>35</v>
      </c>
      <c r="F1002" s="6" t="n">
        <v>22.567181</v>
      </c>
      <c r="G1002" s="6" t="n">
        <v>71.774189</v>
      </c>
      <c r="H1002" s="6" t="n">
        <v>2</v>
      </c>
      <c r="I1002" s="6" t="n">
        <v>30</v>
      </c>
      <c r="J1002" s="6" t="s">
        <v>36</v>
      </c>
      <c r="K1002" s="7" t="b">
        <f aca="false">FALSE()</f>
        <v>0</v>
      </c>
    </row>
    <row r="1003" customFormat="false" ht="15" hidden="false" customHeight="false" outlineLevel="0" collapsed="false">
      <c r="A1003" s="6" t="n">
        <v>307143</v>
      </c>
      <c r="B1003" s="6" t="s">
        <v>1524</v>
      </c>
      <c r="C1003" s="6" t="s">
        <v>1525</v>
      </c>
      <c r="D1003" s="6" t="s">
        <v>1471</v>
      </c>
      <c r="E1003" s="6" t="s">
        <v>35</v>
      </c>
      <c r="F1003" s="6" t="n">
        <v>23.006253</v>
      </c>
      <c r="G1003" s="6" t="n">
        <v>71.085909</v>
      </c>
      <c r="H1003" s="6" t="n">
        <v>2</v>
      </c>
      <c r="I1003" s="6" t="n">
        <v>30</v>
      </c>
      <c r="J1003" s="6" t="s">
        <v>36</v>
      </c>
      <c r="K1003" s="7" t="b">
        <f aca="false">FALSE()</f>
        <v>0</v>
      </c>
    </row>
    <row r="1004" customFormat="false" ht="15" hidden="false" customHeight="false" outlineLevel="0" collapsed="false">
      <c r="A1004" s="6" t="n">
        <v>307141</v>
      </c>
      <c r="B1004" s="6" t="s">
        <v>1526</v>
      </c>
      <c r="C1004" s="6" t="s">
        <v>1527</v>
      </c>
      <c r="D1004" s="6" t="s">
        <v>1484</v>
      </c>
      <c r="E1004" s="6" t="s">
        <v>35</v>
      </c>
      <c r="F1004" s="6" t="n">
        <v>24.757759</v>
      </c>
      <c r="G1004" s="6" t="n">
        <v>73.019977</v>
      </c>
      <c r="H1004" s="6" t="n">
        <v>2</v>
      </c>
      <c r="I1004" s="6" t="n">
        <v>30</v>
      </c>
      <c r="J1004" s="6" t="s">
        <v>36</v>
      </c>
      <c r="K1004" s="7" t="b">
        <f aca="false">FALSE()</f>
        <v>0</v>
      </c>
    </row>
    <row r="1005" customFormat="false" ht="15" hidden="false" customHeight="false" outlineLevel="0" collapsed="false">
      <c r="A1005" s="6" t="n">
        <v>307140</v>
      </c>
      <c r="B1005" s="6" t="s">
        <v>1528</v>
      </c>
      <c r="C1005" s="6" t="s">
        <v>1529</v>
      </c>
      <c r="D1005" s="6" t="s">
        <v>1484</v>
      </c>
      <c r="E1005" s="6" t="s">
        <v>35</v>
      </c>
      <c r="F1005" s="6" t="n">
        <v>25.779833</v>
      </c>
      <c r="G1005" s="6" t="n">
        <v>74.623868</v>
      </c>
      <c r="H1005" s="6" t="n">
        <v>2</v>
      </c>
      <c r="I1005" s="6" t="n">
        <v>30</v>
      </c>
      <c r="J1005" s="6" t="s">
        <v>36</v>
      </c>
      <c r="K1005" s="7" t="b">
        <f aca="false">FALSE()</f>
        <v>0</v>
      </c>
    </row>
    <row r="1006" customFormat="false" ht="15" hidden="false" customHeight="false" outlineLevel="0" collapsed="false">
      <c r="A1006" s="6" t="n">
        <v>307139</v>
      </c>
      <c r="B1006" s="6" t="s">
        <v>1530</v>
      </c>
      <c r="C1006" s="6" t="s">
        <v>1494</v>
      </c>
      <c r="D1006" s="6" t="s">
        <v>1484</v>
      </c>
      <c r="E1006" s="6" t="s">
        <v>35</v>
      </c>
      <c r="F1006" s="6" t="n">
        <v>26.781056</v>
      </c>
      <c r="G1006" s="6" t="n">
        <v>75.826832</v>
      </c>
      <c r="H1006" s="6" t="n">
        <v>2</v>
      </c>
      <c r="I1006" s="6" t="n">
        <v>30</v>
      </c>
      <c r="J1006" s="6" t="s">
        <v>36</v>
      </c>
      <c r="K1006" s="7" t="b">
        <f aca="false">FALSE()</f>
        <v>0</v>
      </c>
    </row>
    <row r="1007" customFormat="false" ht="15" hidden="false" customHeight="false" outlineLevel="0" collapsed="false">
      <c r="A1007" s="6" t="n">
        <v>307137</v>
      </c>
      <c r="B1007" s="6" t="s">
        <v>1531</v>
      </c>
      <c r="C1007" s="6" t="s">
        <v>1494</v>
      </c>
      <c r="D1007" s="6" t="s">
        <v>1484</v>
      </c>
      <c r="E1007" s="6" t="s">
        <v>35</v>
      </c>
      <c r="F1007" s="6" t="n">
        <v>26.842027</v>
      </c>
      <c r="G1007" s="6" t="n">
        <v>75.7963</v>
      </c>
      <c r="H1007" s="6" t="n">
        <v>2</v>
      </c>
      <c r="I1007" s="6" t="n">
        <v>30</v>
      </c>
      <c r="J1007" s="6" t="s">
        <v>36</v>
      </c>
      <c r="K1007" s="7" t="b">
        <f aca="false">FALSE()</f>
        <v>0</v>
      </c>
    </row>
    <row r="1008" customFormat="false" ht="15" hidden="false" customHeight="false" outlineLevel="0" collapsed="false">
      <c r="A1008" s="6" t="n">
        <v>307136</v>
      </c>
      <c r="B1008" s="6" t="s">
        <v>1532</v>
      </c>
      <c r="C1008" s="6" t="s">
        <v>1533</v>
      </c>
      <c r="D1008" s="6" t="s">
        <v>1471</v>
      </c>
      <c r="E1008" s="6" t="s">
        <v>35</v>
      </c>
      <c r="F1008" s="6" t="n">
        <v>22.445355</v>
      </c>
      <c r="G1008" s="6" t="n">
        <v>70.116655</v>
      </c>
      <c r="H1008" s="6" t="n">
        <v>2</v>
      </c>
      <c r="I1008" s="6" t="n">
        <v>30</v>
      </c>
      <c r="J1008" s="6" t="s">
        <v>36</v>
      </c>
      <c r="K1008" s="7" t="b">
        <f aca="false">FALSE()</f>
        <v>0</v>
      </c>
    </row>
    <row r="1009" customFormat="false" ht="15" hidden="false" customHeight="false" outlineLevel="0" collapsed="false">
      <c r="A1009" s="6" t="n">
        <v>307135</v>
      </c>
      <c r="B1009" s="6" t="s">
        <v>1534</v>
      </c>
      <c r="C1009" s="6" t="s">
        <v>1535</v>
      </c>
      <c r="D1009" s="6" t="s">
        <v>1484</v>
      </c>
      <c r="E1009" s="6" t="s">
        <v>35</v>
      </c>
      <c r="F1009" s="6" t="n">
        <v>27.857417</v>
      </c>
      <c r="G1009" s="6" t="n">
        <v>76.265725</v>
      </c>
      <c r="H1009" s="6" t="n">
        <v>2</v>
      </c>
      <c r="I1009" s="6" t="n">
        <v>30</v>
      </c>
      <c r="J1009" s="6" t="s">
        <v>36</v>
      </c>
      <c r="K1009" s="7" t="b">
        <f aca="false">FALSE()</f>
        <v>0</v>
      </c>
    </row>
    <row r="1010" customFormat="false" ht="15" hidden="false" customHeight="false" outlineLevel="0" collapsed="false">
      <c r="A1010" s="6" t="n">
        <v>307134</v>
      </c>
      <c r="B1010" s="6" t="s">
        <v>1536</v>
      </c>
      <c r="C1010" s="6" t="s">
        <v>1535</v>
      </c>
      <c r="D1010" s="6" t="s">
        <v>1484</v>
      </c>
      <c r="E1010" s="6" t="s">
        <v>35</v>
      </c>
      <c r="F1010" s="6" t="n">
        <v>27.874214</v>
      </c>
      <c r="G1010" s="6" t="n">
        <v>76.276307</v>
      </c>
      <c r="H1010" s="6" t="n">
        <v>2</v>
      </c>
      <c r="I1010" s="6" t="n">
        <v>30</v>
      </c>
      <c r="J1010" s="6" t="s">
        <v>36</v>
      </c>
      <c r="K1010" s="7" t="b">
        <f aca="false">FALSE()</f>
        <v>0</v>
      </c>
    </row>
    <row r="1011" customFormat="false" ht="15" hidden="false" customHeight="false" outlineLevel="0" collapsed="false">
      <c r="A1011" s="6" t="n">
        <v>307133</v>
      </c>
      <c r="B1011" s="6" t="s">
        <v>1537</v>
      </c>
      <c r="C1011" s="6" t="s">
        <v>1538</v>
      </c>
      <c r="D1011" s="6" t="s">
        <v>1456</v>
      </c>
      <c r="E1011" s="6" t="s">
        <v>35</v>
      </c>
      <c r="F1011" s="6" t="n">
        <v>28.37164</v>
      </c>
      <c r="G1011" s="6" t="n">
        <v>77.210529</v>
      </c>
      <c r="H1011" s="6" t="n">
        <v>2</v>
      </c>
      <c r="I1011" s="6" t="n">
        <v>30</v>
      </c>
      <c r="J1011" s="6" t="s">
        <v>36</v>
      </c>
      <c r="K1011" s="7" t="b">
        <f aca="false">FALSE()</f>
        <v>0</v>
      </c>
    </row>
    <row r="1012" customFormat="false" ht="15" hidden="false" customHeight="false" outlineLevel="0" collapsed="false">
      <c r="A1012" s="6" t="n">
        <v>307132</v>
      </c>
      <c r="B1012" s="6" t="s">
        <v>1539</v>
      </c>
      <c r="C1012" s="6" t="s">
        <v>1540</v>
      </c>
      <c r="D1012" s="6" t="s">
        <v>1456</v>
      </c>
      <c r="E1012" s="6" t="s">
        <v>35</v>
      </c>
      <c r="F1012" s="6" t="n">
        <v>28.237238</v>
      </c>
      <c r="G1012" s="6" t="n">
        <v>77.150387</v>
      </c>
      <c r="H1012" s="6" t="n">
        <v>2</v>
      </c>
      <c r="I1012" s="6" t="n">
        <v>30</v>
      </c>
      <c r="J1012" s="6" t="s">
        <v>36</v>
      </c>
      <c r="K1012" s="7" t="b">
        <f aca="false">FALSE()</f>
        <v>0</v>
      </c>
    </row>
    <row r="1013" customFormat="false" ht="15" hidden="false" customHeight="false" outlineLevel="0" collapsed="false">
      <c r="A1013" s="6" t="n">
        <v>307131</v>
      </c>
      <c r="B1013" s="6" t="s">
        <v>1541</v>
      </c>
      <c r="C1013" s="6" t="s">
        <v>1542</v>
      </c>
      <c r="D1013" s="6" t="s">
        <v>1456</v>
      </c>
      <c r="E1013" s="6" t="s">
        <v>35</v>
      </c>
      <c r="F1013" s="6" t="n">
        <v>28.249526</v>
      </c>
      <c r="G1013" s="6" t="n">
        <v>76.817011</v>
      </c>
      <c r="H1013" s="6" t="n">
        <v>2</v>
      </c>
      <c r="I1013" s="6" t="n">
        <v>30</v>
      </c>
      <c r="J1013" s="6" t="s">
        <v>36</v>
      </c>
      <c r="K1013" s="7" t="b">
        <f aca="false">FALSE()</f>
        <v>0</v>
      </c>
    </row>
    <row r="1014" customFormat="false" ht="15" hidden="false" customHeight="false" outlineLevel="0" collapsed="false">
      <c r="A1014" s="6" t="n">
        <v>307111</v>
      </c>
      <c r="B1014" s="6" t="s">
        <v>1543</v>
      </c>
      <c r="C1014" s="6" t="s">
        <v>946</v>
      </c>
      <c r="D1014" s="6" t="s">
        <v>1456</v>
      </c>
      <c r="E1014" s="6" t="s">
        <v>35</v>
      </c>
      <c r="F1014" s="6" t="n">
        <v>28.48757</v>
      </c>
      <c r="G1014" s="6" t="n">
        <v>77.073321</v>
      </c>
      <c r="H1014" s="6" t="n">
        <v>6</v>
      </c>
      <c r="I1014" s="6" t="n">
        <v>30</v>
      </c>
      <c r="J1014" s="6" t="s">
        <v>36</v>
      </c>
      <c r="K1014" s="7" t="b">
        <f aca="false">FALSE()</f>
        <v>0</v>
      </c>
    </row>
    <row r="1015" customFormat="false" ht="15" hidden="false" customHeight="false" outlineLevel="0" collapsed="false">
      <c r="A1015" s="6" t="n">
        <v>307110</v>
      </c>
      <c r="B1015" s="6" t="s">
        <v>1544</v>
      </c>
      <c r="C1015" s="6" t="s">
        <v>1545</v>
      </c>
      <c r="D1015" s="6" t="s">
        <v>1456</v>
      </c>
      <c r="E1015" s="6" t="s">
        <v>35</v>
      </c>
      <c r="F1015" s="6" t="n">
        <v>28.480172</v>
      </c>
      <c r="G1015" s="6" t="n">
        <v>77.108378</v>
      </c>
      <c r="H1015" s="6" t="n">
        <v>2</v>
      </c>
      <c r="I1015" s="6" t="n">
        <v>30</v>
      </c>
      <c r="J1015" s="6" t="s">
        <v>36</v>
      </c>
      <c r="K1015" s="7" t="b">
        <f aca="false">FALSE()</f>
        <v>0</v>
      </c>
    </row>
    <row r="1016" customFormat="false" ht="15" hidden="false" customHeight="false" outlineLevel="0" collapsed="false">
      <c r="A1016" s="6" t="n">
        <v>307109</v>
      </c>
      <c r="B1016" s="6" t="s">
        <v>1052</v>
      </c>
      <c r="C1016" s="6" t="s">
        <v>1545</v>
      </c>
      <c r="D1016" s="6" t="s">
        <v>1456</v>
      </c>
      <c r="E1016" s="6" t="s">
        <v>35</v>
      </c>
      <c r="F1016" s="6" t="n">
        <v>28.460598</v>
      </c>
      <c r="G1016" s="6" t="n">
        <v>77.080664</v>
      </c>
      <c r="H1016" s="6" t="n">
        <v>2</v>
      </c>
      <c r="I1016" s="6" t="n">
        <v>30</v>
      </c>
      <c r="J1016" s="6" t="s">
        <v>36</v>
      </c>
      <c r="K1016" s="7" t="b">
        <f aca="false">FALSE()</f>
        <v>0</v>
      </c>
    </row>
    <row r="1017" customFormat="false" ht="15" hidden="false" customHeight="false" outlineLevel="0" collapsed="false">
      <c r="A1017" s="6" t="n">
        <v>307108</v>
      </c>
      <c r="B1017" s="6" t="s">
        <v>1546</v>
      </c>
      <c r="C1017" s="6" t="s">
        <v>1545</v>
      </c>
      <c r="D1017" s="6" t="s">
        <v>1456</v>
      </c>
      <c r="E1017" s="6" t="s">
        <v>35</v>
      </c>
      <c r="F1017" s="6" t="n">
        <v>28.476847</v>
      </c>
      <c r="G1017" s="6" t="n">
        <v>77.070676</v>
      </c>
      <c r="H1017" s="6" t="n">
        <v>2</v>
      </c>
      <c r="I1017" s="6" t="n">
        <v>30</v>
      </c>
      <c r="J1017" s="6" t="s">
        <v>36</v>
      </c>
      <c r="K1017" s="7" t="b">
        <f aca="false">FALSE()</f>
        <v>0</v>
      </c>
    </row>
    <row r="1018" customFormat="false" ht="15" hidden="false" customHeight="false" outlineLevel="0" collapsed="false">
      <c r="A1018" s="6" t="n">
        <v>307107</v>
      </c>
      <c r="B1018" s="6" t="s">
        <v>1547</v>
      </c>
      <c r="C1018" s="6" t="s">
        <v>1548</v>
      </c>
      <c r="D1018" s="6" t="s">
        <v>739</v>
      </c>
      <c r="E1018" s="6" t="s">
        <v>35</v>
      </c>
      <c r="F1018" s="6" t="n">
        <v>28.553361</v>
      </c>
      <c r="G1018" s="6" t="n">
        <v>77.123616</v>
      </c>
      <c r="H1018" s="6" t="n">
        <v>2</v>
      </c>
      <c r="I1018" s="6" t="n">
        <v>30</v>
      </c>
      <c r="J1018" s="6" t="s">
        <v>36</v>
      </c>
      <c r="K1018" s="7" t="b">
        <f aca="false">FALSE()</f>
        <v>0</v>
      </c>
    </row>
    <row r="1019" customFormat="false" ht="15" hidden="false" customHeight="false" outlineLevel="0" collapsed="false">
      <c r="A1019" s="6" t="n">
        <v>307106</v>
      </c>
      <c r="B1019" s="6" t="s">
        <v>1549</v>
      </c>
      <c r="C1019" s="6" t="s">
        <v>1548</v>
      </c>
      <c r="D1019" s="6" t="s">
        <v>739</v>
      </c>
      <c r="E1019" s="6" t="s">
        <v>35</v>
      </c>
      <c r="F1019" s="6" t="n">
        <v>28.618401</v>
      </c>
      <c r="G1019" s="6" t="n">
        <v>77.217836</v>
      </c>
      <c r="H1019" s="6" t="n">
        <v>2</v>
      </c>
      <c r="I1019" s="6" t="n">
        <v>30</v>
      </c>
      <c r="J1019" s="6" t="s">
        <v>36</v>
      </c>
      <c r="K1019" s="7" t="b">
        <f aca="false">FALSE()</f>
        <v>0</v>
      </c>
    </row>
    <row r="1020" customFormat="false" ht="15" hidden="false" customHeight="false" outlineLevel="0" collapsed="false">
      <c r="A1020" s="6" t="n">
        <v>307105</v>
      </c>
      <c r="B1020" s="6" t="s">
        <v>1550</v>
      </c>
      <c r="C1020" s="6" t="s">
        <v>1551</v>
      </c>
      <c r="D1020" s="6" t="s">
        <v>723</v>
      </c>
      <c r="E1020" s="6" t="s">
        <v>35</v>
      </c>
      <c r="F1020" s="6" t="n">
        <v>28.596229</v>
      </c>
      <c r="G1020" s="6" t="n">
        <v>77.330625</v>
      </c>
      <c r="H1020" s="6" t="n">
        <v>2</v>
      </c>
      <c r="I1020" s="6" t="n">
        <v>90</v>
      </c>
      <c r="J1020" s="6" t="s">
        <v>39</v>
      </c>
      <c r="K1020" s="7" t="b">
        <f aca="false">TRUE()</f>
        <v>1</v>
      </c>
    </row>
    <row r="1021" customFormat="false" ht="15" hidden="false" customHeight="false" outlineLevel="0" collapsed="false">
      <c r="A1021" s="6" t="n">
        <v>307102</v>
      </c>
      <c r="B1021" s="6" t="s">
        <v>1552</v>
      </c>
      <c r="C1021" s="6" t="s">
        <v>1553</v>
      </c>
      <c r="D1021" s="6" t="s">
        <v>72</v>
      </c>
      <c r="E1021" s="6" t="s">
        <v>35</v>
      </c>
      <c r="F1021" s="6" t="n">
        <v>19.1166</v>
      </c>
      <c r="G1021" s="6" t="n">
        <v>72.82927</v>
      </c>
      <c r="H1021" s="6" t="n">
        <v>1</v>
      </c>
      <c r="I1021" s="6" t="n">
        <v>120</v>
      </c>
      <c r="J1021" s="6" t="s">
        <v>39</v>
      </c>
      <c r="K1021" s="7" t="b">
        <f aca="false">TRUE()</f>
        <v>1</v>
      </c>
    </row>
    <row r="1022" customFormat="false" ht="15" hidden="false" customHeight="false" outlineLevel="0" collapsed="false">
      <c r="A1022" s="6" t="n">
        <v>307035</v>
      </c>
      <c r="B1022" s="6" t="s">
        <v>1466</v>
      </c>
      <c r="C1022" s="6" t="s">
        <v>1548</v>
      </c>
      <c r="D1022" s="6" t="s">
        <v>739</v>
      </c>
      <c r="E1022" s="6" t="s">
        <v>35</v>
      </c>
      <c r="F1022" s="6" t="n">
        <v>28.544769</v>
      </c>
      <c r="G1022" s="6" t="n">
        <v>77.186145</v>
      </c>
      <c r="H1022" s="6" t="n">
        <v>2</v>
      </c>
      <c r="I1022" s="6" t="n">
        <v>60</v>
      </c>
      <c r="J1022" s="6" t="s">
        <v>39</v>
      </c>
      <c r="K1022" s="7" t="b">
        <f aca="false">TRUE()</f>
        <v>1</v>
      </c>
    </row>
    <row r="1023" customFormat="false" ht="15" hidden="false" customHeight="false" outlineLevel="0" collapsed="false">
      <c r="A1023" s="6" t="n">
        <v>307034</v>
      </c>
      <c r="B1023" s="6" t="s">
        <v>1466</v>
      </c>
      <c r="C1023" s="6" t="s">
        <v>946</v>
      </c>
      <c r="D1023" s="6" t="s">
        <v>739</v>
      </c>
      <c r="E1023" s="6" t="s">
        <v>35</v>
      </c>
      <c r="F1023" s="6" t="n">
        <v>28.513197</v>
      </c>
      <c r="G1023" s="6" t="n">
        <v>77.186071</v>
      </c>
      <c r="H1023" s="6" t="n">
        <v>1</v>
      </c>
      <c r="I1023" s="6" t="n">
        <v>60</v>
      </c>
      <c r="J1023" s="6" t="s">
        <v>39</v>
      </c>
      <c r="K1023" s="7" t="b">
        <f aca="false">TRUE()</f>
        <v>1</v>
      </c>
    </row>
    <row r="1024" customFormat="false" ht="15" hidden="false" customHeight="false" outlineLevel="0" collapsed="false">
      <c r="A1024" s="6" t="n">
        <v>307033</v>
      </c>
      <c r="B1024" s="6" t="s">
        <v>1466</v>
      </c>
      <c r="C1024" s="6" t="s">
        <v>1548</v>
      </c>
      <c r="D1024" s="6" t="s">
        <v>739</v>
      </c>
      <c r="E1024" s="6" t="s">
        <v>35</v>
      </c>
      <c r="F1024" s="6" t="n">
        <v>28.561322</v>
      </c>
      <c r="G1024" s="6" t="n">
        <v>77.269668</v>
      </c>
      <c r="H1024" s="6" t="n">
        <v>2</v>
      </c>
      <c r="I1024" s="6" t="n">
        <v>60</v>
      </c>
      <c r="J1024" s="6" t="s">
        <v>39</v>
      </c>
      <c r="K1024" s="7" t="b">
        <f aca="false">TRUE()</f>
        <v>1</v>
      </c>
    </row>
    <row r="1025" customFormat="false" ht="15" hidden="false" customHeight="false" outlineLevel="0" collapsed="false">
      <c r="A1025" s="6" t="n">
        <v>307032</v>
      </c>
      <c r="B1025" s="6" t="s">
        <v>1466</v>
      </c>
      <c r="C1025" s="6" t="s">
        <v>1538</v>
      </c>
      <c r="D1025" s="6" t="s">
        <v>1456</v>
      </c>
      <c r="E1025" s="6" t="s">
        <v>35</v>
      </c>
      <c r="F1025" s="6" t="n">
        <v>28.459093</v>
      </c>
      <c r="G1025" s="6" t="n">
        <v>77.306397</v>
      </c>
      <c r="H1025" s="6" t="n">
        <v>2</v>
      </c>
      <c r="I1025" s="6" t="n">
        <v>60</v>
      </c>
      <c r="J1025" s="6" t="s">
        <v>39</v>
      </c>
      <c r="K1025" s="7" t="b">
        <f aca="false">TRUE()</f>
        <v>1</v>
      </c>
    </row>
    <row r="1026" customFormat="false" ht="15" hidden="false" customHeight="false" outlineLevel="0" collapsed="false">
      <c r="A1026" s="6" t="n">
        <v>307031</v>
      </c>
      <c r="B1026" s="6" t="s">
        <v>1466</v>
      </c>
      <c r="C1026" s="6" t="s">
        <v>1554</v>
      </c>
      <c r="D1026" s="6" t="s">
        <v>739</v>
      </c>
      <c r="E1026" s="6" t="s">
        <v>35</v>
      </c>
      <c r="F1026" s="6" t="n">
        <v>28.518732</v>
      </c>
      <c r="G1026" s="6" t="n">
        <v>77.294795</v>
      </c>
      <c r="H1026" s="6" t="n">
        <v>2</v>
      </c>
      <c r="I1026" s="6" t="n">
        <v>60</v>
      </c>
      <c r="J1026" s="6" t="s">
        <v>39</v>
      </c>
      <c r="K1026" s="7" t="b">
        <f aca="false">TRUE()</f>
        <v>1</v>
      </c>
    </row>
    <row r="1027" customFormat="false" ht="15" hidden="false" customHeight="false" outlineLevel="0" collapsed="false">
      <c r="A1027" s="6" t="n">
        <v>307030</v>
      </c>
      <c r="B1027" s="6" t="s">
        <v>1555</v>
      </c>
      <c r="C1027" s="6" t="s">
        <v>1551</v>
      </c>
      <c r="D1027" s="6" t="s">
        <v>723</v>
      </c>
      <c r="E1027" s="6" t="s">
        <v>35</v>
      </c>
      <c r="F1027" s="6" t="n">
        <v>28.464613</v>
      </c>
      <c r="G1027" s="6" t="n">
        <v>77.508467</v>
      </c>
      <c r="H1027" s="6" t="n">
        <v>2</v>
      </c>
      <c r="I1027" s="6" t="n">
        <v>120</v>
      </c>
      <c r="J1027" s="6" t="s">
        <v>39</v>
      </c>
      <c r="K1027" s="7" t="b">
        <f aca="false">TRUE()</f>
        <v>1</v>
      </c>
    </row>
    <row r="1028" customFormat="false" ht="15" hidden="false" customHeight="false" outlineLevel="0" collapsed="false">
      <c r="A1028" s="6" t="n">
        <v>307029</v>
      </c>
      <c r="B1028" s="6" t="s">
        <v>1556</v>
      </c>
      <c r="C1028" s="6" t="s">
        <v>1551</v>
      </c>
      <c r="D1028" s="6" t="s">
        <v>723</v>
      </c>
      <c r="E1028" s="6" t="s">
        <v>35</v>
      </c>
      <c r="F1028" s="6" t="n">
        <v>28.569917</v>
      </c>
      <c r="G1028" s="6" t="n">
        <v>77.322085</v>
      </c>
      <c r="H1028" s="6" t="n">
        <v>2</v>
      </c>
      <c r="I1028" s="6" t="n">
        <v>120</v>
      </c>
      <c r="J1028" s="6" t="s">
        <v>39</v>
      </c>
      <c r="K1028" s="7" t="b">
        <f aca="false">TRUE()</f>
        <v>1</v>
      </c>
    </row>
    <row r="1029" customFormat="false" ht="15" hidden="false" customHeight="false" outlineLevel="0" collapsed="false">
      <c r="A1029" s="6" t="n">
        <v>307028</v>
      </c>
      <c r="B1029" s="6" t="s">
        <v>1557</v>
      </c>
      <c r="C1029" s="6" t="s">
        <v>1551</v>
      </c>
      <c r="D1029" s="6" t="s">
        <v>723</v>
      </c>
      <c r="E1029" s="6" t="s">
        <v>35</v>
      </c>
      <c r="F1029" s="6" t="n">
        <v>28.574544</v>
      </c>
      <c r="G1029" s="6" t="n">
        <v>77.313483</v>
      </c>
      <c r="H1029" s="6" t="n">
        <v>2</v>
      </c>
      <c r="I1029" s="6" t="n">
        <v>120</v>
      </c>
      <c r="J1029" s="6" t="s">
        <v>39</v>
      </c>
      <c r="K1029" s="7" t="b">
        <f aca="false">TRUE()</f>
        <v>1</v>
      </c>
    </row>
    <row r="1030" customFormat="false" ht="15" hidden="false" customHeight="false" outlineLevel="0" collapsed="false">
      <c r="A1030" s="6" t="n">
        <v>307027</v>
      </c>
      <c r="B1030" s="6" t="s">
        <v>1558</v>
      </c>
      <c r="C1030" s="6" t="s">
        <v>1551</v>
      </c>
      <c r="D1030" s="6" t="s">
        <v>723</v>
      </c>
      <c r="E1030" s="6" t="s">
        <v>35</v>
      </c>
      <c r="F1030" s="6" t="n">
        <v>28.587968</v>
      </c>
      <c r="G1030" s="6" t="n">
        <v>77.352087</v>
      </c>
      <c r="H1030" s="6" t="n">
        <v>1</v>
      </c>
      <c r="I1030" s="6" t="n">
        <v>22</v>
      </c>
      <c r="J1030" s="6" t="s">
        <v>36</v>
      </c>
      <c r="K1030" s="7" t="b">
        <f aca="false">FALSE()</f>
        <v>0</v>
      </c>
    </row>
    <row r="1031" customFormat="false" ht="15" hidden="false" customHeight="false" outlineLevel="0" collapsed="false">
      <c r="A1031" s="6" t="n">
        <v>306986</v>
      </c>
      <c r="B1031" s="6" t="s">
        <v>1558</v>
      </c>
      <c r="C1031" s="6" t="s">
        <v>946</v>
      </c>
      <c r="D1031" s="6" t="s">
        <v>739</v>
      </c>
      <c r="E1031" s="6" t="s">
        <v>35</v>
      </c>
      <c r="F1031" s="6" t="n">
        <v>28.583695</v>
      </c>
      <c r="G1031" s="6" t="n">
        <v>77.222226</v>
      </c>
      <c r="H1031" s="6" t="n">
        <v>1</v>
      </c>
      <c r="I1031" s="6" t="n">
        <v>15</v>
      </c>
      <c r="J1031" s="6" t="s">
        <v>756</v>
      </c>
      <c r="K1031" s="7" t="b">
        <f aca="false">FALSE()</f>
        <v>0</v>
      </c>
    </row>
    <row r="1032" customFormat="false" ht="15" hidden="false" customHeight="false" outlineLevel="0" collapsed="false">
      <c r="A1032" s="6" t="n">
        <v>306985</v>
      </c>
      <c r="B1032" s="6" t="s">
        <v>1558</v>
      </c>
      <c r="C1032" s="6" t="s">
        <v>946</v>
      </c>
      <c r="D1032" s="6" t="s">
        <v>739</v>
      </c>
      <c r="E1032" s="6" t="s">
        <v>35</v>
      </c>
      <c r="F1032" s="6" t="n">
        <v>28.633916</v>
      </c>
      <c r="G1032" s="6" t="n">
        <v>77.217594</v>
      </c>
      <c r="H1032" s="6" t="n">
        <v>1</v>
      </c>
      <c r="I1032" s="6" t="n">
        <v>15</v>
      </c>
      <c r="J1032" s="6" t="s">
        <v>756</v>
      </c>
      <c r="K1032" s="7" t="b">
        <f aca="false">FALSE()</f>
        <v>0</v>
      </c>
    </row>
    <row r="1033" customFormat="false" ht="15" hidden="false" customHeight="false" outlineLevel="0" collapsed="false">
      <c r="A1033" s="6" t="n">
        <v>306984</v>
      </c>
      <c r="B1033" s="6" t="s">
        <v>1558</v>
      </c>
      <c r="C1033" s="6" t="s">
        <v>946</v>
      </c>
      <c r="D1033" s="6" t="s">
        <v>739</v>
      </c>
      <c r="E1033" s="6" t="s">
        <v>35</v>
      </c>
      <c r="F1033" s="6" t="n">
        <v>28.631607</v>
      </c>
      <c r="G1033" s="6" t="n">
        <v>77.221927</v>
      </c>
      <c r="H1033" s="6" t="n">
        <v>1</v>
      </c>
      <c r="I1033" s="6" t="n">
        <v>15</v>
      </c>
      <c r="J1033" s="6" t="s">
        <v>756</v>
      </c>
      <c r="K1033" s="7" t="b">
        <f aca="false">FALSE()</f>
        <v>0</v>
      </c>
    </row>
    <row r="1034" customFormat="false" ht="15" hidden="false" customHeight="false" outlineLevel="0" collapsed="false">
      <c r="A1034" s="6" t="n">
        <v>306983</v>
      </c>
      <c r="B1034" s="6" t="s">
        <v>1558</v>
      </c>
      <c r="C1034" s="6" t="s">
        <v>946</v>
      </c>
      <c r="D1034" s="6" t="s">
        <v>739</v>
      </c>
      <c r="E1034" s="6" t="s">
        <v>35</v>
      </c>
      <c r="F1034" s="6" t="n">
        <v>28.63359</v>
      </c>
      <c r="G1034" s="6" t="n">
        <v>77.223554</v>
      </c>
      <c r="H1034" s="6" t="n">
        <v>1</v>
      </c>
      <c r="I1034" s="6" t="n">
        <v>15</v>
      </c>
      <c r="J1034" s="6" t="s">
        <v>756</v>
      </c>
      <c r="K1034" s="7" t="b">
        <f aca="false">FALSE()</f>
        <v>0</v>
      </c>
    </row>
    <row r="1035" customFormat="false" ht="15" hidden="false" customHeight="false" outlineLevel="0" collapsed="false">
      <c r="A1035" s="6" t="n">
        <v>306982</v>
      </c>
      <c r="B1035" s="6" t="s">
        <v>1558</v>
      </c>
      <c r="C1035" s="6" t="s">
        <v>946</v>
      </c>
      <c r="D1035" s="6" t="s">
        <v>739</v>
      </c>
      <c r="E1035" s="6" t="s">
        <v>35</v>
      </c>
      <c r="F1035" s="6" t="n">
        <v>28.634997</v>
      </c>
      <c r="G1035" s="6" t="n">
        <v>77.219672</v>
      </c>
      <c r="H1035" s="6" t="n">
        <v>1</v>
      </c>
      <c r="I1035" s="6" t="n">
        <v>15</v>
      </c>
      <c r="J1035" s="6" t="s">
        <v>756</v>
      </c>
      <c r="K1035" s="7" t="b">
        <f aca="false">FALSE()</f>
        <v>0</v>
      </c>
    </row>
    <row r="1036" customFormat="false" ht="15" hidden="false" customHeight="false" outlineLevel="0" collapsed="false">
      <c r="A1036" s="6" t="n">
        <v>306981</v>
      </c>
      <c r="B1036" s="6" t="s">
        <v>1558</v>
      </c>
      <c r="C1036" s="6" t="s">
        <v>946</v>
      </c>
      <c r="D1036" s="6" t="s">
        <v>739</v>
      </c>
      <c r="E1036" s="6" t="s">
        <v>35</v>
      </c>
      <c r="F1036" s="6" t="n">
        <v>28.601894</v>
      </c>
      <c r="G1036" s="6" t="n">
        <v>77.186212</v>
      </c>
      <c r="H1036" s="6" t="n">
        <v>1</v>
      </c>
      <c r="I1036" s="6" t="n">
        <v>15</v>
      </c>
      <c r="J1036" s="6" t="s">
        <v>756</v>
      </c>
      <c r="K1036" s="7" t="b">
        <f aca="false">FALSE()</f>
        <v>0</v>
      </c>
    </row>
    <row r="1037" customFormat="false" ht="15" hidden="false" customHeight="false" outlineLevel="0" collapsed="false">
      <c r="A1037" s="6" t="n">
        <v>306980</v>
      </c>
      <c r="B1037" s="6" t="s">
        <v>1559</v>
      </c>
      <c r="C1037" s="6" t="s">
        <v>946</v>
      </c>
      <c r="D1037" s="6" t="s">
        <v>739</v>
      </c>
      <c r="E1037" s="6" t="s">
        <v>35</v>
      </c>
      <c r="F1037" s="6" t="n">
        <v>28.699036</v>
      </c>
      <c r="G1037" s="6" t="n">
        <v>77.203992</v>
      </c>
      <c r="H1037" s="6" t="n">
        <v>4</v>
      </c>
      <c r="I1037" s="6" t="n">
        <v>60</v>
      </c>
      <c r="J1037" s="6" t="s">
        <v>39</v>
      </c>
      <c r="K1037" s="7" t="b">
        <f aca="false">TRUE()</f>
        <v>1</v>
      </c>
    </row>
    <row r="1038" customFormat="false" ht="15" hidden="false" customHeight="false" outlineLevel="0" collapsed="false">
      <c r="A1038" s="6" t="n">
        <v>306979</v>
      </c>
      <c r="B1038" s="6" t="s">
        <v>1560</v>
      </c>
      <c r="C1038" s="6" t="s">
        <v>1561</v>
      </c>
      <c r="D1038" s="6" t="s">
        <v>1456</v>
      </c>
      <c r="E1038" s="6" t="s">
        <v>35</v>
      </c>
      <c r="F1038" s="6" t="n">
        <v>28.125637</v>
      </c>
      <c r="G1038" s="6" t="n">
        <v>76.638064</v>
      </c>
      <c r="H1038" s="6" t="n">
        <v>1</v>
      </c>
      <c r="I1038" s="6" t="n">
        <v>60</v>
      </c>
      <c r="J1038" s="6" t="s">
        <v>39</v>
      </c>
      <c r="K1038" s="7" t="b">
        <f aca="false">TRUE()</f>
        <v>1</v>
      </c>
    </row>
    <row r="1039" customFormat="false" ht="15" hidden="false" customHeight="false" outlineLevel="0" collapsed="false">
      <c r="A1039" s="6" t="n">
        <v>306978</v>
      </c>
      <c r="B1039" s="6" t="s">
        <v>1562</v>
      </c>
      <c r="C1039" s="6" t="s">
        <v>1563</v>
      </c>
      <c r="D1039" s="6" t="s">
        <v>1484</v>
      </c>
      <c r="E1039" s="6" t="s">
        <v>35</v>
      </c>
      <c r="F1039" s="6" t="n">
        <v>28.201921</v>
      </c>
      <c r="G1039" s="6" t="n">
        <v>76.809537</v>
      </c>
      <c r="H1039" s="6" t="n">
        <v>1</v>
      </c>
      <c r="I1039" s="6" t="n">
        <v>60</v>
      </c>
      <c r="J1039" s="6" t="s">
        <v>39</v>
      </c>
      <c r="K1039" s="7" t="b">
        <f aca="false">TRUE()</f>
        <v>1</v>
      </c>
    </row>
    <row r="1040" customFormat="false" ht="15" hidden="false" customHeight="false" outlineLevel="0" collapsed="false">
      <c r="A1040" s="6" t="n">
        <v>306977</v>
      </c>
      <c r="B1040" s="6" t="s">
        <v>1564</v>
      </c>
      <c r="C1040" s="6" t="s">
        <v>1542</v>
      </c>
      <c r="D1040" s="6" t="s">
        <v>1456</v>
      </c>
      <c r="E1040" s="6" t="s">
        <v>35</v>
      </c>
      <c r="F1040" s="6" t="n">
        <v>28.323268</v>
      </c>
      <c r="G1040" s="6" t="n">
        <v>76.901139</v>
      </c>
      <c r="H1040" s="6" t="n">
        <v>1</v>
      </c>
      <c r="I1040" s="6" t="n">
        <v>30</v>
      </c>
      <c r="J1040" s="6" t="s">
        <v>36</v>
      </c>
      <c r="K1040" s="7" t="b">
        <f aca="false">FALSE()</f>
        <v>0</v>
      </c>
    </row>
    <row r="1041" customFormat="false" ht="15" hidden="false" customHeight="false" outlineLevel="0" collapsed="false">
      <c r="A1041" s="6" t="n">
        <v>306976</v>
      </c>
      <c r="B1041" s="6" t="s">
        <v>1565</v>
      </c>
      <c r="C1041" s="6" t="s">
        <v>946</v>
      </c>
      <c r="D1041" s="6" t="s">
        <v>723</v>
      </c>
      <c r="E1041" s="6" t="s">
        <v>35</v>
      </c>
      <c r="F1041" s="6" t="n">
        <v>27.575292</v>
      </c>
      <c r="G1041" s="6" t="n">
        <v>77.614531</v>
      </c>
      <c r="H1041" s="6" t="n">
        <v>1</v>
      </c>
      <c r="I1041" s="6" t="n">
        <v>7</v>
      </c>
      <c r="J1041" s="6" t="s">
        <v>126</v>
      </c>
      <c r="K1041" s="7" t="b">
        <f aca="false">FALSE()</f>
        <v>0</v>
      </c>
    </row>
    <row r="1042" customFormat="false" ht="15" hidden="false" customHeight="false" outlineLevel="0" collapsed="false">
      <c r="A1042" s="6" t="n">
        <v>306975</v>
      </c>
      <c r="B1042" s="6" t="s">
        <v>1566</v>
      </c>
      <c r="C1042" s="6" t="s">
        <v>946</v>
      </c>
      <c r="D1042" s="6" t="s">
        <v>723</v>
      </c>
      <c r="E1042" s="6" t="s">
        <v>35</v>
      </c>
      <c r="F1042" s="6" t="n">
        <v>27.829224</v>
      </c>
      <c r="G1042" s="6" t="n">
        <v>77.421066</v>
      </c>
      <c r="H1042" s="6" t="n">
        <v>1</v>
      </c>
      <c r="I1042" s="6" t="n">
        <v>30</v>
      </c>
      <c r="J1042" s="6" t="s">
        <v>36</v>
      </c>
      <c r="K1042" s="7" t="b">
        <f aca="false">FALSE()</f>
        <v>0</v>
      </c>
    </row>
    <row r="1043" customFormat="false" ht="15" hidden="false" customHeight="false" outlineLevel="0" collapsed="false">
      <c r="A1043" s="6" t="n">
        <v>306974</v>
      </c>
      <c r="B1043" s="6" t="s">
        <v>1567</v>
      </c>
      <c r="C1043" s="6" t="s">
        <v>946</v>
      </c>
      <c r="D1043" s="6" t="s">
        <v>723</v>
      </c>
      <c r="E1043" s="6" t="s">
        <v>35</v>
      </c>
      <c r="F1043" s="6" t="n">
        <v>27.824118</v>
      </c>
      <c r="G1043" s="6" t="n">
        <v>77.425613</v>
      </c>
      <c r="H1043" s="6" t="n">
        <v>1</v>
      </c>
      <c r="I1043" s="6" t="n">
        <v>25</v>
      </c>
      <c r="J1043" s="6" t="s">
        <v>36</v>
      </c>
      <c r="K1043" s="7" t="b">
        <f aca="false">FALSE()</f>
        <v>0</v>
      </c>
    </row>
    <row r="1044" customFormat="false" ht="15" hidden="false" customHeight="false" outlineLevel="0" collapsed="false">
      <c r="A1044" s="6" t="n">
        <v>306973</v>
      </c>
      <c r="B1044" s="6" t="s">
        <v>1568</v>
      </c>
      <c r="C1044" s="6" t="s">
        <v>946</v>
      </c>
      <c r="D1044" s="6" t="s">
        <v>723</v>
      </c>
      <c r="E1044" s="6" t="s">
        <v>35</v>
      </c>
      <c r="F1044" s="6" t="n">
        <v>27.823974</v>
      </c>
      <c r="G1044" s="6" t="n">
        <v>77.4252</v>
      </c>
      <c r="H1044" s="6" t="n">
        <v>2</v>
      </c>
      <c r="I1044" s="6" t="n">
        <v>60</v>
      </c>
      <c r="J1044" s="6" t="s">
        <v>39</v>
      </c>
      <c r="K1044" s="7" t="b">
        <f aca="false">TRUE()</f>
        <v>1</v>
      </c>
    </row>
    <row r="1045" customFormat="false" ht="15" hidden="false" customHeight="false" outlineLevel="0" collapsed="false">
      <c r="A1045" s="6" t="n">
        <v>306972</v>
      </c>
      <c r="B1045" s="6" t="s">
        <v>1569</v>
      </c>
      <c r="C1045" s="6" t="s">
        <v>946</v>
      </c>
      <c r="D1045" s="6" t="s">
        <v>723</v>
      </c>
      <c r="E1045" s="6" t="s">
        <v>35</v>
      </c>
      <c r="F1045" s="6" t="n">
        <v>27.816316</v>
      </c>
      <c r="G1045" s="6" t="n">
        <v>77.427631</v>
      </c>
      <c r="H1045" s="6" t="n">
        <v>1</v>
      </c>
      <c r="I1045" s="6" t="n">
        <v>24</v>
      </c>
      <c r="J1045" s="6" t="s">
        <v>36</v>
      </c>
      <c r="K1045" s="7" t="b">
        <f aca="false">FALSE()</f>
        <v>0</v>
      </c>
    </row>
    <row r="1046" customFormat="false" ht="15" hidden="false" customHeight="false" outlineLevel="0" collapsed="false">
      <c r="A1046" s="6" t="n">
        <v>306971</v>
      </c>
      <c r="B1046" s="6" t="s">
        <v>1570</v>
      </c>
      <c r="C1046" s="6" t="s">
        <v>946</v>
      </c>
      <c r="D1046" s="6" t="s">
        <v>1456</v>
      </c>
      <c r="E1046" s="6" t="s">
        <v>35</v>
      </c>
      <c r="F1046" s="6" t="n">
        <v>28.2894</v>
      </c>
      <c r="G1046" s="6" t="n">
        <v>77.296641</v>
      </c>
      <c r="H1046" s="6" t="n">
        <v>1</v>
      </c>
      <c r="I1046" s="6" t="n">
        <v>50</v>
      </c>
      <c r="J1046" s="6" t="s">
        <v>39</v>
      </c>
      <c r="K1046" s="7" t="b">
        <f aca="false">TRUE()</f>
        <v>1</v>
      </c>
    </row>
    <row r="1047" customFormat="false" ht="15" hidden="false" customHeight="false" outlineLevel="0" collapsed="false">
      <c r="A1047" s="6" t="n">
        <v>306970</v>
      </c>
      <c r="B1047" s="6" t="s">
        <v>1571</v>
      </c>
      <c r="C1047" s="6" t="s">
        <v>946</v>
      </c>
      <c r="D1047" s="6" t="s">
        <v>739</v>
      </c>
      <c r="E1047" s="6" t="s">
        <v>35</v>
      </c>
      <c r="F1047" s="6" t="n">
        <v>28.492717</v>
      </c>
      <c r="G1047" s="6" t="n">
        <v>77.148441</v>
      </c>
      <c r="H1047" s="6" t="n">
        <v>1</v>
      </c>
      <c r="I1047" s="6" t="n">
        <v>25</v>
      </c>
      <c r="J1047" s="6" t="s">
        <v>36</v>
      </c>
      <c r="K1047" s="7" t="b">
        <f aca="false">FALSE()</f>
        <v>0</v>
      </c>
    </row>
    <row r="1048" customFormat="false" ht="15" hidden="false" customHeight="false" outlineLevel="0" collapsed="false">
      <c r="A1048" s="6" t="n">
        <v>306969</v>
      </c>
      <c r="B1048" s="6" t="s">
        <v>1572</v>
      </c>
      <c r="C1048" s="6" t="s">
        <v>946</v>
      </c>
      <c r="D1048" s="6" t="s">
        <v>739</v>
      </c>
      <c r="E1048" s="6" t="s">
        <v>35</v>
      </c>
      <c r="F1048" s="6" t="n">
        <v>28.514138</v>
      </c>
      <c r="G1048" s="6" t="n">
        <v>77.186811</v>
      </c>
      <c r="H1048" s="6" t="n">
        <v>4</v>
      </c>
      <c r="I1048" s="6" t="n">
        <v>7</v>
      </c>
      <c r="J1048" s="6" t="s">
        <v>126</v>
      </c>
      <c r="K1048" s="7" t="b">
        <f aca="false">FALSE()</f>
        <v>0</v>
      </c>
    </row>
    <row r="1049" customFormat="false" ht="15" hidden="false" customHeight="false" outlineLevel="0" collapsed="false">
      <c r="A1049" s="6" t="n">
        <v>306968</v>
      </c>
      <c r="B1049" s="6" t="s">
        <v>1573</v>
      </c>
      <c r="C1049" s="6" t="s">
        <v>946</v>
      </c>
      <c r="D1049" s="6" t="s">
        <v>739</v>
      </c>
      <c r="E1049" s="6" t="s">
        <v>35</v>
      </c>
      <c r="F1049" s="6" t="n">
        <v>28.597342</v>
      </c>
      <c r="G1049" s="6" t="n">
        <v>77.173183</v>
      </c>
      <c r="H1049" s="6" t="n">
        <v>2</v>
      </c>
      <c r="I1049" s="6" t="n">
        <v>7</v>
      </c>
      <c r="J1049" s="6" t="s">
        <v>126</v>
      </c>
      <c r="K1049" s="7" t="b">
        <f aca="false">FALSE()</f>
        <v>0</v>
      </c>
    </row>
    <row r="1050" customFormat="false" ht="15" hidden="false" customHeight="false" outlineLevel="0" collapsed="false">
      <c r="A1050" s="6" t="n">
        <v>306967</v>
      </c>
      <c r="B1050" s="6" t="s">
        <v>1558</v>
      </c>
      <c r="C1050" s="6" t="s">
        <v>946</v>
      </c>
      <c r="D1050" s="6" t="s">
        <v>739</v>
      </c>
      <c r="E1050" s="6" t="s">
        <v>35</v>
      </c>
      <c r="F1050" s="6" t="n">
        <v>28.600694</v>
      </c>
      <c r="G1050" s="6" t="n">
        <v>77.226158</v>
      </c>
      <c r="H1050" s="6" t="n">
        <v>1</v>
      </c>
      <c r="I1050" s="6" t="n">
        <v>22</v>
      </c>
      <c r="J1050" s="6" t="s">
        <v>36</v>
      </c>
      <c r="K1050" s="7" t="b">
        <f aca="false">FALSE()</f>
        <v>0</v>
      </c>
    </row>
    <row r="1051" customFormat="false" ht="15" hidden="false" customHeight="false" outlineLevel="0" collapsed="false">
      <c r="A1051" s="6" t="n">
        <v>306953</v>
      </c>
      <c r="B1051" s="6" t="s">
        <v>1574</v>
      </c>
      <c r="C1051" s="6" t="s">
        <v>1538</v>
      </c>
      <c r="D1051" s="6" t="s">
        <v>1456</v>
      </c>
      <c r="E1051" s="6" t="s">
        <v>35</v>
      </c>
      <c r="F1051" s="6" t="n">
        <v>28.36286</v>
      </c>
      <c r="G1051" s="6" t="n">
        <v>77.314811</v>
      </c>
      <c r="H1051" s="6" t="n">
        <v>1</v>
      </c>
      <c r="I1051" s="6" t="n">
        <v>30</v>
      </c>
      <c r="J1051" s="6" t="s">
        <v>36</v>
      </c>
      <c r="K1051" s="7" t="b">
        <f aca="false">FALSE()</f>
        <v>0</v>
      </c>
    </row>
    <row r="1052" customFormat="false" ht="15" hidden="false" customHeight="false" outlineLevel="0" collapsed="false">
      <c r="A1052" s="6" t="n">
        <v>306952</v>
      </c>
      <c r="B1052" s="6" t="s">
        <v>1575</v>
      </c>
      <c r="C1052" s="6" t="s">
        <v>1538</v>
      </c>
      <c r="D1052" s="6" t="s">
        <v>1456</v>
      </c>
      <c r="E1052" s="6" t="s">
        <v>35</v>
      </c>
      <c r="F1052" s="6" t="n">
        <v>28.488169</v>
      </c>
      <c r="G1052" s="6" t="n">
        <v>77.305773</v>
      </c>
      <c r="H1052" s="6" t="n">
        <v>10</v>
      </c>
      <c r="I1052" s="6" t="n">
        <v>30</v>
      </c>
      <c r="J1052" s="6" t="s">
        <v>36</v>
      </c>
      <c r="K1052" s="7" t="b">
        <f aca="false">FALSE()</f>
        <v>0</v>
      </c>
    </row>
    <row r="1053" customFormat="false" ht="15" hidden="false" customHeight="false" outlineLevel="0" collapsed="false">
      <c r="A1053" s="6" t="n">
        <v>306951</v>
      </c>
      <c r="B1053" s="6" t="s">
        <v>1576</v>
      </c>
      <c r="C1053" s="6" t="s">
        <v>946</v>
      </c>
      <c r="D1053" s="6" t="s">
        <v>739</v>
      </c>
      <c r="E1053" s="6" t="s">
        <v>35</v>
      </c>
      <c r="F1053" s="6" t="n">
        <v>28.56437</v>
      </c>
      <c r="G1053" s="6" t="n">
        <v>77.23404</v>
      </c>
      <c r="H1053" s="6" t="n">
        <v>4</v>
      </c>
      <c r="I1053" s="6" t="n">
        <v>60</v>
      </c>
      <c r="J1053" s="6" t="s">
        <v>39</v>
      </c>
      <c r="K1053" s="7" t="b">
        <f aca="false">TRUE()</f>
        <v>1</v>
      </c>
    </row>
    <row r="1054" customFormat="false" ht="15" hidden="false" customHeight="false" outlineLevel="0" collapsed="false">
      <c r="A1054" s="6" t="n">
        <v>306950</v>
      </c>
      <c r="B1054" s="6" t="s">
        <v>1577</v>
      </c>
      <c r="C1054" s="6" t="s">
        <v>946</v>
      </c>
      <c r="D1054" s="6" t="s">
        <v>739</v>
      </c>
      <c r="E1054" s="6" t="s">
        <v>35</v>
      </c>
      <c r="F1054" s="6" t="n">
        <v>28.57419</v>
      </c>
      <c r="G1054" s="6" t="n">
        <v>77.231086</v>
      </c>
      <c r="H1054" s="6" t="n">
        <v>2</v>
      </c>
      <c r="I1054" s="6" t="n">
        <v>60</v>
      </c>
      <c r="J1054" s="6" t="s">
        <v>39</v>
      </c>
      <c r="K1054" s="7" t="b">
        <f aca="false">TRUE()</f>
        <v>1</v>
      </c>
    </row>
    <row r="1055" customFormat="false" ht="15" hidden="false" customHeight="false" outlineLevel="0" collapsed="false">
      <c r="A1055" s="6" t="n">
        <v>306937</v>
      </c>
      <c r="B1055" s="6" t="s">
        <v>1578</v>
      </c>
      <c r="C1055" s="6" t="s">
        <v>1548</v>
      </c>
      <c r="D1055" s="6" t="s">
        <v>739</v>
      </c>
      <c r="E1055" s="6" t="s">
        <v>35</v>
      </c>
      <c r="F1055" s="6" t="n">
        <v>28.622301</v>
      </c>
      <c r="G1055" s="6" t="n">
        <v>77.095451</v>
      </c>
      <c r="H1055" s="6" t="n">
        <v>1</v>
      </c>
      <c r="I1055" s="6" t="n">
        <v>25</v>
      </c>
      <c r="J1055" s="6" t="s">
        <v>36</v>
      </c>
      <c r="K1055" s="7" t="b">
        <f aca="false">FALSE()</f>
        <v>0</v>
      </c>
    </row>
    <row r="1056" customFormat="false" ht="15" hidden="false" customHeight="false" outlineLevel="0" collapsed="false">
      <c r="A1056" s="6" t="n">
        <v>306878</v>
      </c>
      <c r="B1056" s="6" t="s">
        <v>1579</v>
      </c>
      <c r="C1056" s="6" t="s">
        <v>1542</v>
      </c>
      <c r="D1056" s="6" t="s">
        <v>1456</v>
      </c>
      <c r="E1056" s="6" t="s">
        <v>35</v>
      </c>
      <c r="F1056" s="6" t="n">
        <v>28.467709</v>
      </c>
      <c r="G1056" s="6" t="n">
        <v>77.081758</v>
      </c>
      <c r="H1056" s="6" t="n">
        <v>2</v>
      </c>
      <c r="I1056" s="6" t="n">
        <v>120</v>
      </c>
      <c r="J1056" s="6" t="s">
        <v>39</v>
      </c>
      <c r="K1056" s="7" t="b">
        <f aca="false">TRUE()</f>
        <v>1</v>
      </c>
    </row>
    <row r="1057" customFormat="false" ht="15" hidden="false" customHeight="false" outlineLevel="0" collapsed="false">
      <c r="A1057" s="6" t="n">
        <v>306877</v>
      </c>
      <c r="B1057" s="6" t="s">
        <v>1580</v>
      </c>
      <c r="C1057" s="6" t="s">
        <v>1542</v>
      </c>
      <c r="D1057" s="6" t="s">
        <v>1456</v>
      </c>
      <c r="E1057" s="6" t="s">
        <v>35</v>
      </c>
      <c r="F1057" s="6" t="n">
        <v>28.463933</v>
      </c>
      <c r="G1057" s="6" t="n">
        <v>77.048746</v>
      </c>
      <c r="H1057" s="6" t="n">
        <v>1</v>
      </c>
      <c r="I1057" s="6" t="n">
        <v>120</v>
      </c>
      <c r="J1057" s="6" t="s">
        <v>39</v>
      </c>
      <c r="K1057" s="7" t="b">
        <f aca="false">TRUE()</f>
        <v>1</v>
      </c>
    </row>
    <row r="1058" customFormat="false" ht="15" hidden="false" customHeight="false" outlineLevel="0" collapsed="false">
      <c r="A1058" s="6" t="n">
        <v>306876</v>
      </c>
      <c r="B1058" s="6" t="s">
        <v>1581</v>
      </c>
      <c r="C1058" s="6" t="s">
        <v>1542</v>
      </c>
      <c r="D1058" s="6" t="s">
        <v>1456</v>
      </c>
      <c r="E1058" s="6" t="s">
        <v>35</v>
      </c>
      <c r="F1058" s="6" t="n">
        <v>28.468828</v>
      </c>
      <c r="G1058" s="6" t="n">
        <v>77.063884</v>
      </c>
      <c r="H1058" s="6" t="n">
        <v>2</v>
      </c>
      <c r="I1058" s="6" t="n">
        <v>120</v>
      </c>
      <c r="J1058" s="6" t="s">
        <v>39</v>
      </c>
      <c r="K1058" s="7" t="b">
        <f aca="false">TRUE()</f>
        <v>1</v>
      </c>
    </row>
    <row r="1059" customFormat="false" ht="15" hidden="false" customHeight="false" outlineLevel="0" collapsed="false">
      <c r="A1059" s="6" t="n">
        <v>306875</v>
      </c>
      <c r="B1059" s="6" t="s">
        <v>1582</v>
      </c>
      <c r="C1059" s="6" t="s">
        <v>1545</v>
      </c>
      <c r="D1059" s="6" t="s">
        <v>1456</v>
      </c>
      <c r="E1059" s="6" t="s">
        <v>35</v>
      </c>
      <c r="F1059" s="6" t="n">
        <v>28.467984</v>
      </c>
      <c r="G1059" s="6" t="n">
        <v>77.059768</v>
      </c>
      <c r="H1059" s="6" t="n">
        <v>1</v>
      </c>
      <c r="I1059" s="6" t="n">
        <v>7</v>
      </c>
      <c r="J1059" s="6" t="s">
        <v>126</v>
      </c>
      <c r="K1059" s="7" t="b">
        <f aca="false">FALSE()</f>
        <v>0</v>
      </c>
    </row>
    <row r="1060" customFormat="false" ht="15" hidden="false" customHeight="false" outlineLevel="0" collapsed="false">
      <c r="A1060" s="6" t="n">
        <v>306874</v>
      </c>
      <c r="B1060" s="6" t="s">
        <v>1466</v>
      </c>
      <c r="C1060" s="6" t="s">
        <v>1542</v>
      </c>
      <c r="D1060" s="6" t="s">
        <v>1456</v>
      </c>
      <c r="E1060" s="6" t="s">
        <v>35</v>
      </c>
      <c r="F1060" s="6" t="n">
        <v>28.497655</v>
      </c>
      <c r="G1060" s="6" t="n">
        <v>77.093116</v>
      </c>
      <c r="H1060" s="6" t="n">
        <v>1</v>
      </c>
      <c r="I1060" s="6" t="n">
        <v>60</v>
      </c>
      <c r="J1060" s="6" t="s">
        <v>39</v>
      </c>
      <c r="K1060" s="7" t="b">
        <f aca="false">TRUE()</f>
        <v>1</v>
      </c>
    </row>
    <row r="1061" customFormat="false" ht="15" hidden="false" customHeight="false" outlineLevel="0" collapsed="false">
      <c r="A1061" s="6" t="n">
        <v>306873</v>
      </c>
      <c r="B1061" s="6" t="s">
        <v>1583</v>
      </c>
      <c r="C1061" s="6" t="s">
        <v>1542</v>
      </c>
      <c r="D1061" s="6" t="s">
        <v>1456</v>
      </c>
      <c r="E1061" s="6" t="s">
        <v>35</v>
      </c>
      <c r="F1061" s="6" t="n">
        <v>28.507955</v>
      </c>
      <c r="G1061" s="6" t="n">
        <v>77.085852</v>
      </c>
      <c r="H1061" s="6" t="n">
        <v>1</v>
      </c>
      <c r="I1061" s="6" t="n">
        <v>30</v>
      </c>
      <c r="J1061" s="6" t="s">
        <v>36</v>
      </c>
      <c r="K1061" s="7" t="b">
        <f aca="false">FALSE()</f>
        <v>0</v>
      </c>
    </row>
    <row r="1062" customFormat="false" ht="15" hidden="false" customHeight="false" outlineLevel="0" collapsed="false">
      <c r="A1062" s="6" t="n">
        <v>306804</v>
      </c>
      <c r="B1062" s="6" t="s">
        <v>1584</v>
      </c>
      <c r="C1062" s="6" t="s">
        <v>739</v>
      </c>
      <c r="D1062" s="6" t="s">
        <v>739</v>
      </c>
      <c r="E1062" s="6" t="s">
        <v>35</v>
      </c>
      <c r="F1062" s="6" t="n">
        <v>28.55314</v>
      </c>
      <c r="G1062" s="6" t="n">
        <v>77.12122</v>
      </c>
      <c r="H1062" s="6" t="n">
        <v>2</v>
      </c>
      <c r="I1062" s="6" t="n">
        <v>30</v>
      </c>
      <c r="J1062" s="6" t="s">
        <v>36</v>
      </c>
      <c r="K1062" s="7" t="b">
        <f aca="false">FALSE()</f>
        <v>0</v>
      </c>
    </row>
    <row r="1063" customFormat="false" ht="15" hidden="false" customHeight="false" outlineLevel="0" collapsed="false">
      <c r="A1063" s="6" t="n">
        <v>306803</v>
      </c>
      <c r="B1063" s="6" t="s">
        <v>1585</v>
      </c>
      <c r="C1063" s="6" t="s">
        <v>739</v>
      </c>
      <c r="D1063" s="6" t="s">
        <v>739</v>
      </c>
      <c r="E1063" s="6" t="s">
        <v>35</v>
      </c>
      <c r="F1063" s="6" t="n">
        <v>28.552368</v>
      </c>
      <c r="G1063" s="6" t="n">
        <v>77.12382</v>
      </c>
      <c r="H1063" s="6" t="n">
        <v>2</v>
      </c>
      <c r="I1063" s="6" t="n">
        <v>30</v>
      </c>
      <c r="J1063" s="6" t="s">
        <v>36</v>
      </c>
      <c r="K1063" s="7" t="b">
        <f aca="false">FALSE()</f>
        <v>0</v>
      </c>
    </row>
    <row r="1064" customFormat="false" ht="15" hidden="false" customHeight="false" outlineLevel="0" collapsed="false">
      <c r="A1064" s="6" t="n">
        <v>306802</v>
      </c>
      <c r="B1064" s="6" t="s">
        <v>1586</v>
      </c>
      <c r="C1064" s="6" t="s">
        <v>1548</v>
      </c>
      <c r="D1064" s="6" t="s">
        <v>739</v>
      </c>
      <c r="E1064" s="6" t="s">
        <v>35</v>
      </c>
      <c r="F1064" s="6" t="n">
        <v>28.543767</v>
      </c>
      <c r="G1064" s="6" t="n">
        <v>77.119596</v>
      </c>
      <c r="H1064" s="6" t="n">
        <v>2</v>
      </c>
      <c r="I1064" s="6" t="n">
        <v>22</v>
      </c>
      <c r="J1064" s="6" t="s">
        <v>36</v>
      </c>
      <c r="K1064" s="7" t="b">
        <f aca="false">FALSE()</f>
        <v>0</v>
      </c>
    </row>
    <row r="1065" customFormat="false" ht="15" hidden="false" customHeight="false" outlineLevel="0" collapsed="false">
      <c r="A1065" s="6" t="n">
        <v>306801</v>
      </c>
      <c r="B1065" s="6" t="s">
        <v>1587</v>
      </c>
      <c r="C1065" s="6" t="s">
        <v>739</v>
      </c>
      <c r="D1065" s="6" t="s">
        <v>739</v>
      </c>
      <c r="E1065" s="6" t="s">
        <v>35</v>
      </c>
      <c r="F1065" s="6" t="n">
        <v>28.544906</v>
      </c>
      <c r="G1065" s="6" t="n">
        <v>77.206917</v>
      </c>
      <c r="H1065" s="6" t="n">
        <v>2</v>
      </c>
      <c r="I1065" s="6" t="n">
        <v>30</v>
      </c>
      <c r="J1065" s="6" t="s">
        <v>36</v>
      </c>
      <c r="K1065" s="7" t="b">
        <f aca="false">FALSE()</f>
        <v>0</v>
      </c>
    </row>
    <row r="1066" customFormat="false" ht="15" hidden="false" customHeight="false" outlineLevel="0" collapsed="false">
      <c r="A1066" s="6" t="n">
        <v>306798</v>
      </c>
      <c r="B1066" s="6" t="s">
        <v>1588</v>
      </c>
      <c r="C1066" s="6" t="s">
        <v>1551</v>
      </c>
      <c r="D1066" s="6" t="s">
        <v>723</v>
      </c>
      <c r="E1066" s="6" t="s">
        <v>35</v>
      </c>
      <c r="F1066" s="6" t="n">
        <v>28.580172</v>
      </c>
      <c r="G1066" s="6" t="n">
        <v>77.315462</v>
      </c>
      <c r="H1066" s="6" t="n">
        <v>2</v>
      </c>
      <c r="I1066" s="6" t="n">
        <v>22</v>
      </c>
      <c r="J1066" s="6" t="s">
        <v>36</v>
      </c>
      <c r="K1066" s="7" t="b">
        <f aca="false">FALSE()</f>
        <v>0</v>
      </c>
    </row>
    <row r="1067" customFormat="false" ht="15" hidden="false" customHeight="false" outlineLevel="0" collapsed="false">
      <c r="A1067" s="6" t="n">
        <v>306797</v>
      </c>
      <c r="B1067" s="6" t="s">
        <v>1589</v>
      </c>
      <c r="C1067" s="6" t="s">
        <v>739</v>
      </c>
      <c r="D1067" s="6" t="s">
        <v>739</v>
      </c>
      <c r="E1067" s="6" t="s">
        <v>35</v>
      </c>
      <c r="F1067" s="6" t="n">
        <v>28.625197</v>
      </c>
      <c r="G1067" s="6" t="n">
        <v>77.305497</v>
      </c>
      <c r="H1067" s="6" t="n">
        <v>1</v>
      </c>
      <c r="I1067" s="6"/>
      <c r="J1067" s="6" t="s">
        <v>43</v>
      </c>
      <c r="K1067" s="7" t="b">
        <f aca="false">FALSE()</f>
        <v>0</v>
      </c>
    </row>
    <row r="1068" customFormat="false" ht="15" hidden="false" customHeight="false" outlineLevel="0" collapsed="false">
      <c r="A1068" s="6" t="n">
        <v>306796</v>
      </c>
      <c r="B1068" s="6" t="s">
        <v>1590</v>
      </c>
      <c r="C1068" s="6" t="s">
        <v>739</v>
      </c>
      <c r="D1068" s="6" t="s">
        <v>739</v>
      </c>
      <c r="E1068" s="6" t="s">
        <v>35</v>
      </c>
      <c r="F1068" s="6" t="n">
        <v>28.629619</v>
      </c>
      <c r="G1068" s="6" t="n">
        <v>77.312113</v>
      </c>
      <c r="H1068" s="6" t="n">
        <v>1</v>
      </c>
      <c r="I1068" s="6"/>
      <c r="J1068" s="6" t="s">
        <v>43</v>
      </c>
      <c r="K1068" s="7" t="b">
        <f aca="false">FALSE()</f>
        <v>0</v>
      </c>
    </row>
    <row r="1069" customFormat="false" ht="15" hidden="false" customHeight="false" outlineLevel="0" collapsed="false">
      <c r="A1069" s="6" t="n">
        <v>306793</v>
      </c>
      <c r="B1069" s="6" t="s">
        <v>1591</v>
      </c>
      <c r="C1069" s="6" t="s">
        <v>1551</v>
      </c>
      <c r="D1069" s="6" t="s">
        <v>723</v>
      </c>
      <c r="E1069" s="6" t="s">
        <v>35</v>
      </c>
      <c r="F1069" s="6" t="n">
        <v>28.569779</v>
      </c>
      <c r="G1069" s="6" t="n">
        <v>77.323288</v>
      </c>
      <c r="H1069" s="6" t="n">
        <v>5</v>
      </c>
      <c r="I1069" s="6"/>
      <c r="J1069" s="6" t="s">
        <v>43</v>
      </c>
      <c r="K1069" s="7" t="b">
        <f aca="false">FALSE()</f>
        <v>0</v>
      </c>
    </row>
    <row r="1070" customFormat="false" ht="15" hidden="false" customHeight="false" outlineLevel="0" collapsed="false">
      <c r="A1070" s="6" t="n">
        <v>306792</v>
      </c>
      <c r="B1070" s="6" t="s">
        <v>1592</v>
      </c>
      <c r="C1070" s="6" t="s">
        <v>1551</v>
      </c>
      <c r="D1070" s="6" t="s">
        <v>723</v>
      </c>
      <c r="E1070" s="6" t="s">
        <v>35</v>
      </c>
      <c r="F1070" s="6" t="n">
        <v>28.567208</v>
      </c>
      <c r="G1070" s="6" t="n">
        <v>77.321534</v>
      </c>
      <c r="H1070" s="6" t="n">
        <v>2</v>
      </c>
      <c r="I1070" s="6" t="n">
        <v>60</v>
      </c>
      <c r="J1070" s="6" t="s">
        <v>39</v>
      </c>
      <c r="K1070" s="7" t="b">
        <f aca="false">TRUE()</f>
        <v>1</v>
      </c>
    </row>
    <row r="1071" customFormat="false" ht="15" hidden="false" customHeight="false" outlineLevel="0" collapsed="false">
      <c r="A1071" s="6" t="n">
        <v>306791</v>
      </c>
      <c r="B1071" s="6" t="s">
        <v>1593</v>
      </c>
      <c r="C1071" s="6" t="s">
        <v>1551</v>
      </c>
      <c r="D1071" s="6" t="s">
        <v>723</v>
      </c>
      <c r="E1071" s="6" t="s">
        <v>35</v>
      </c>
      <c r="F1071" s="6" t="n">
        <v>28.542195</v>
      </c>
      <c r="G1071" s="6" t="n">
        <v>77.340714</v>
      </c>
      <c r="H1071" s="6" t="n">
        <v>2</v>
      </c>
      <c r="I1071" s="6" t="n">
        <v>120</v>
      </c>
      <c r="J1071" s="6" t="s">
        <v>39</v>
      </c>
      <c r="K1071" s="7" t="b">
        <f aca="false">TRUE()</f>
        <v>1</v>
      </c>
    </row>
    <row r="1072" customFormat="false" ht="15" hidden="false" customHeight="false" outlineLevel="0" collapsed="false">
      <c r="A1072" s="6" t="n">
        <v>306790</v>
      </c>
      <c r="B1072" s="6" t="s">
        <v>1594</v>
      </c>
      <c r="C1072" s="6" t="s">
        <v>1551</v>
      </c>
      <c r="D1072" s="6" t="s">
        <v>723</v>
      </c>
      <c r="E1072" s="6" t="s">
        <v>35</v>
      </c>
      <c r="F1072" s="6" t="n">
        <v>28.544712</v>
      </c>
      <c r="G1072" s="6" t="n">
        <v>77.327193</v>
      </c>
      <c r="H1072" s="6" t="n">
        <v>3</v>
      </c>
      <c r="I1072" s="6" t="n">
        <v>60</v>
      </c>
      <c r="J1072" s="6" t="s">
        <v>39</v>
      </c>
      <c r="K1072" s="7" t="b">
        <f aca="false">TRUE()</f>
        <v>1</v>
      </c>
    </row>
    <row r="1073" customFormat="false" ht="15" hidden="false" customHeight="false" outlineLevel="0" collapsed="false">
      <c r="A1073" s="6" t="n">
        <v>306770</v>
      </c>
      <c r="B1073" s="6" t="s">
        <v>1595</v>
      </c>
      <c r="C1073" s="6" t="s">
        <v>1551</v>
      </c>
      <c r="D1073" s="6" t="s">
        <v>723</v>
      </c>
      <c r="E1073" s="6" t="s">
        <v>35</v>
      </c>
      <c r="F1073" s="6" t="n">
        <v>28.500911</v>
      </c>
      <c r="G1073" s="6" t="n">
        <v>77.409925</v>
      </c>
      <c r="H1073" s="6" t="n">
        <v>1</v>
      </c>
      <c r="I1073" s="6" t="n">
        <v>60</v>
      </c>
      <c r="J1073" s="6" t="s">
        <v>39</v>
      </c>
      <c r="K1073" s="7" t="b">
        <f aca="false">TRUE()</f>
        <v>1</v>
      </c>
    </row>
    <row r="1074" customFormat="false" ht="15" hidden="false" customHeight="false" outlineLevel="0" collapsed="false">
      <c r="A1074" s="6" t="n">
        <v>306769</v>
      </c>
      <c r="B1074" s="6" t="s">
        <v>1596</v>
      </c>
      <c r="C1074" s="6" t="s">
        <v>1597</v>
      </c>
      <c r="D1074" s="6" t="s">
        <v>723</v>
      </c>
      <c r="E1074" s="6" t="s">
        <v>35</v>
      </c>
      <c r="F1074" s="6" t="n">
        <v>28.488784</v>
      </c>
      <c r="G1074" s="6" t="n">
        <v>77.513965</v>
      </c>
      <c r="H1074" s="6" t="n">
        <v>1</v>
      </c>
      <c r="I1074" s="6" t="n">
        <v>7</v>
      </c>
      <c r="J1074" s="6" t="s">
        <v>126</v>
      </c>
      <c r="K1074" s="7" t="b">
        <f aca="false">FALSE()</f>
        <v>0</v>
      </c>
    </row>
    <row r="1075" customFormat="false" ht="15" hidden="false" customHeight="false" outlineLevel="0" collapsed="false">
      <c r="A1075" s="6" t="n">
        <v>306768</v>
      </c>
      <c r="B1075" s="6" t="s">
        <v>1598</v>
      </c>
      <c r="C1075" s="6" t="s">
        <v>1551</v>
      </c>
      <c r="D1075" s="6" t="s">
        <v>723</v>
      </c>
      <c r="E1075" s="6" t="s">
        <v>35</v>
      </c>
      <c r="F1075" s="6" t="n">
        <v>28.478099</v>
      </c>
      <c r="G1075" s="6" t="n">
        <v>77.521475</v>
      </c>
      <c r="H1075" s="6" t="n">
        <v>1</v>
      </c>
      <c r="I1075" s="6" t="n">
        <v>60</v>
      </c>
      <c r="J1075" s="6" t="s">
        <v>39</v>
      </c>
      <c r="K1075" s="7" t="b">
        <f aca="false">TRUE()</f>
        <v>1</v>
      </c>
    </row>
    <row r="1076" customFormat="false" ht="15" hidden="false" customHeight="false" outlineLevel="0" collapsed="false">
      <c r="A1076" s="6" t="n">
        <v>306767</v>
      </c>
      <c r="B1076" s="6" t="s">
        <v>1599</v>
      </c>
      <c r="C1076" s="6" t="s">
        <v>739</v>
      </c>
      <c r="D1076" s="6" t="s">
        <v>739</v>
      </c>
      <c r="E1076" s="6" t="s">
        <v>35</v>
      </c>
      <c r="F1076" s="6" t="n">
        <v>28.633897</v>
      </c>
      <c r="G1076" s="6" t="n">
        <v>77.220776</v>
      </c>
      <c r="H1076" s="6" t="n">
        <v>1</v>
      </c>
      <c r="I1076" s="6" t="n">
        <v>15</v>
      </c>
      <c r="J1076" s="6" t="s">
        <v>756</v>
      </c>
      <c r="K1076" s="7" t="b">
        <f aca="false">FALSE()</f>
        <v>0</v>
      </c>
    </row>
    <row r="1077" customFormat="false" ht="15" hidden="false" customHeight="false" outlineLevel="0" collapsed="false">
      <c r="A1077" s="6" t="n">
        <v>303772</v>
      </c>
      <c r="B1077" s="6" t="s">
        <v>1600</v>
      </c>
      <c r="C1077" s="6" t="s">
        <v>41</v>
      </c>
      <c r="D1077" s="6" t="s">
        <v>42</v>
      </c>
      <c r="E1077" s="6" t="s">
        <v>35</v>
      </c>
      <c r="F1077" s="6" t="n">
        <v>22.579671</v>
      </c>
      <c r="G1077" s="6" t="n">
        <v>88.44329</v>
      </c>
      <c r="H1077" s="6" t="n">
        <v>1</v>
      </c>
      <c r="I1077" s="6" t="n">
        <v>30</v>
      </c>
      <c r="J1077" s="6" t="s">
        <v>36</v>
      </c>
      <c r="K1077" s="7" t="b">
        <f aca="false">FALSE()</f>
        <v>0</v>
      </c>
    </row>
    <row r="1078" customFormat="false" ht="15" hidden="false" customHeight="false" outlineLevel="0" collapsed="false">
      <c r="A1078" s="6" t="n">
        <v>303178</v>
      </c>
      <c r="B1078" s="6" t="s">
        <v>1601</v>
      </c>
      <c r="C1078" s="6" t="s">
        <v>946</v>
      </c>
      <c r="D1078" s="6" t="s">
        <v>739</v>
      </c>
      <c r="E1078" s="6" t="s">
        <v>35</v>
      </c>
      <c r="F1078" s="6" t="n">
        <v>28.614253</v>
      </c>
      <c r="G1078" s="6" t="n">
        <v>77.203429</v>
      </c>
      <c r="H1078" s="6" t="n">
        <v>1</v>
      </c>
      <c r="I1078" s="6"/>
      <c r="J1078" s="6" t="s">
        <v>43</v>
      </c>
      <c r="K1078" s="7" t="b">
        <f aca="false">FALSE()</f>
        <v>0</v>
      </c>
    </row>
    <row r="1079" customFormat="false" ht="15" hidden="false" customHeight="false" outlineLevel="0" collapsed="false">
      <c r="A1079" s="6" t="n">
        <v>302744</v>
      </c>
      <c r="B1079" s="6" t="s">
        <v>1602</v>
      </c>
      <c r="C1079" s="6" t="s">
        <v>1603</v>
      </c>
      <c r="D1079" s="6" t="s">
        <v>1471</v>
      </c>
      <c r="E1079" s="6" t="s">
        <v>35</v>
      </c>
      <c r="F1079" s="6" t="n">
        <v>21.190833</v>
      </c>
      <c r="G1079" s="6" t="n">
        <v>72.828744</v>
      </c>
      <c r="H1079" s="6" t="n">
        <v>1</v>
      </c>
      <c r="I1079" s="6" t="n">
        <v>2.5</v>
      </c>
      <c r="J1079" s="6" t="s">
        <v>126</v>
      </c>
      <c r="K1079" s="7" t="b">
        <f aca="false">FALSE()</f>
        <v>0</v>
      </c>
    </row>
    <row r="1080" customFormat="false" ht="15" hidden="false" customHeight="false" outlineLevel="0" collapsed="false">
      <c r="A1080" s="6" t="n">
        <v>301966</v>
      </c>
      <c r="B1080" s="6" t="s">
        <v>1604</v>
      </c>
      <c r="C1080" s="6" t="s">
        <v>1605</v>
      </c>
      <c r="D1080" s="6" t="s">
        <v>34</v>
      </c>
      <c r="E1080" s="6" t="s">
        <v>35</v>
      </c>
      <c r="F1080" s="6" t="n">
        <v>13.948551</v>
      </c>
      <c r="G1080" s="6" t="n">
        <v>75.531666</v>
      </c>
      <c r="H1080" s="6" t="n">
        <v>1</v>
      </c>
      <c r="I1080" s="6" t="n">
        <v>60</v>
      </c>
      <c r="J1080" s="6" t="s">
        <v>39</v>
      </c>
      <c r="K1080" s="7" t="b">
        <f aca="false">TRUE()</f>
        <v>1</v>
      </c>
    </row>
    <row r="1081" customFormat="false" ht="15" hidden="false" customHeight="false" outlineLevel="0" collapsed="false">
      <c r="A1081" s="6" t="n">
        <v>301965</v>
      </c>
      <c r="B1081" s="6" t="s">
        <v>1606</v>
      </c>
      <c r="C1081" s="6" t="s">
        <v>1607</v>
      </c>
      <c r="D1081" s="6" t="s">
        <v>34</v>
      </c>
      <c r="E1081" s="6" t="s">
        <v>35</v>
      </c>
      <c r="F1081" s="6" t="n">
        <v>12.982124</v>
      </c>
      <c r="G1081" s="6" t="n">
        <v>76.229339</v>
      </c>
      <c r="H1081" s="6" t="n">
        <v>1</v>
      </c>
      <c r="I1081" s="6" t="n">
        <v>40</v>
      </c>
      <c r="J1081" s="6" t="s">
        <v>36</v>
      </c>
      <c r="K1081" s="7" t="b">
        <f aca="false">FALSE()</f>
        <v>0</v>
      </c>
    </row>
    <row r="1082" customFormat="false" ht="15" hidden="false" customHeight="false" outlineLevel="0" collapsed="false">
      <c r="A1082" s="6" t="n">
        <v>301964</v>
      </c>
      <c r="B1082" s="6" t="s">
        <v>1608</v>
      </c>
      <c r="C1082" s="6" t="s">
        <v>924</v>
      </c>
      <c r="D1082" s="6" t="s">
        <v>753</v>
      </c>
      <c r="E1082" s="6" t="s">
        <v>35</v>
      </c>
      <c r="F1082" s="6" t="n">
        <v>12.666701</v>
      </c>
      <c r="G1082" s="6" t="n">
        <v>78.002805</v>
      </c>
      <c r="H1082" s="6" t="n">
        <v>1</v>
      </c>
      <c r="I1082" s="6" t="n">
        <v>30</v>
      </c>
      <c r="J1082" s="6" t="s">
        <v>36</v>
      </c>
      <c r="K1082" s="7" t="b">
        <f aca="false">FALSE()</f>
        <v>0</v>
      </c>
    </row>
    <row r="1083" customFormat="false" ht="15" hidden="false" customHeight="false" outlineLevel="0" collapsed="false">
      <c r="A1083" s="6" t="n">
        <v>301963</v>
      </c>
      <c r="B1083" s="6" t="s">
        <v>1609</v>
      </c>
      <c r="C1083" s="6" t="s">
        <v>1610</v>
      </c>
      <c r="D1083" s="6" t="s">
        <v>753</v>
      </c>
      <c r="E1083" s="6" t="s">
        <v>35</v>
      </c>
      <c r="F1083" s="6" t="n">
        <v>10.960106</v>
      </c>
      <c r="G1083" s="6" t="n">
        <v>79.392613</v>
      </c>
      <c r="H1083" s="6" t="n">
        <v>1</v>
      </c>
      <c r="I1083" s="6" t="n">
        <v>40</v>
      </c>
      <c r="J1083" s="6" t="s">
        <v>36</v>
      </c>
      <c r="K1083" s="7" t="b">
        <f aca="false">FALSE()</f>
        <v>0</v>
      </c>
    </row>
    <row r="1084" customFormat="false" ht="15" hidden="false" customHeight="false" outlineLevel="0" collapsed="false">
      <c r="A1084" s="6" t="n">
        <v>301962</v>
      </c>
      <c r="B1084" s="6" t="s">
        <v>1611</v>
      </c>
      <c r="C1084" s="6" t="s">
        <v>1612</v>
      </c>
      <c r="D1084" s="6" t="s">
        <v>753</v>
      </c>
      <c r="E1084" s="6" t="s">
        <v>35</v>
      </c>
      <c r="F1084" s="6" t="n">
        <v>8.115411</v>
      </c>
      <c r="G1084" s="6" t="n">
        <v>77.532217</v>
      </c>
      <c r="H1084" s="6" t="n">
        <v>1</v>
      </c>
      <c r="I1084" s="6" t="n">
        <v>49</v>
      </c>
      <c r="J1084" s="6" t="s">
        <v>36</v>
      </c>
      <c r="K1084" s="7" t="b">
        <f aca="false">FALSE()</f>
        <v>0</v>
      </c>
    </row>
    <row r="1085" customFormat="false" ht="15" hidden="false" customHeight="false" outlineLevel="0" collapsed="false">
      <c r="A1085" s="6" t="n">
        <v>301650</v>
      </c>
      <c r="B1085" s="6" t="s">
        <v>1613</v>
      </c>
      <c r="C1085" s="6" t="s">
        <v>1614</v>
      </c>
      <c r="D1085" s="6" t="s">
        <v>753</v>
      </c>
      <c r="E1085" s="6" t="s">
        <v>35</v>
      </c>
      <c r="F1085" s="6" t="n">
        <v>11.736197</v>
      </c>
      <c r="G1085" s="6" t="n">
        <v>79.009333</v>
      </c>
      <c r="H1085" s="6" t="n">
        <v>1</v>
      </c>
      <c r="I1085" s="6" t="n">
        <v>30</v>
      </c>
      <c r="J1085" s="6" t="s">
        <v>36</v>
      </c>
      <c r="K1085" s="7" t="b">
        <f aca="false">FALSE()</f>
        <v>0</v>
      </c>
    </row>
    <row r="1086" customFormat="false" ht="15" hidden="false" customHeight="false" outlineLevel="0" collapsed="false">
      <c r="A1086" s="6" t="n">
        <v>301649</v>
      </c>
      <c r="B1086" s="6" t="s">
        <v>1615</v>
      </c>
      <c r="C1086" s="6" t="s">
        <v>1616</v>
      </c>
      <c r="D1086" s="6" t="s">
        <v>753</v>
      </c>
      <c r="E1086" s="6" t="s">
        <v>35</v>
      </c>
      <c r="F1086" s="6" t="n">
        <v>11.661732</v>
      </c>
      <c r="G1086" s="6" t="n">
        <v>78.331195</v>
      </c>
      <c r="H1086" s="6" t="n">
        <v>1</v>
      </c>
      <c r="I1086" s="6" t="n">
        <v>31</v>
      </c>
      <c r="J1086" s="6" t="s">
        <v>36</v>
      </c>
      <c r="K1086" s="7" t="b">
        <f aca="false">FALSE()</f>
        <v>0</v>
      </c>
    </row>
    <row r="1087" customFormat="false" ht="15" hidden="false" customHeight="false" outlineLevel="0" collapsed="false">
      <c r="A1087" s="6" t="n">
        <v>301648</v>
      </c>
      <c r="B1087" s="6" t="s">
        <v>1617</v>
      </c>
      <c r="C1087" s="6" t="s">
        <v>1618</v>
      </c>
      <c r="D1087" s="6" t="s">
        <v>753</v>
      </c>
      <c r="E1087" s="6" t="s">
        <v>35</v>
      </c>
      <c r="F1087" s="6" t="n">
        <v>11.221358</v>
      </c>
      <c r="G1087" s="6" t="n">
        <v>79.737695</v>
      </c>
      <c r="H1087" s="6" t="n">
        <v>1</v>
      </c>
      <c r="I1087" s="6" t="n">
        <v>30</v>
      </c>
      <c r="J1087" s="6" t="s">
        <v>36</v>
      </c>
      <c r="K1087" s="7" t="b">
        <f aca="false">FALSE()</f>
        <v>0</v>
      </c>
    </row>
    <row r="1088" customFormat="false" ht="15" hidden="false" customHeight="false" outlineLevel="0" collapsed="false">
      <c r="A1088" s="6" t="n">
        <v>301647</v>
      </c>
      <c r="B1088" s="6" t="s">
        <v>1619</v>
      </c>
      <c r="C1088" s="6" t="s">
        <v>1620</v>
      </c>
      <c r="D1088" s="6" t="s">
        <v>753</v>
      </c>
      <c r="E1088" s="6" t="s">
        <v>35</v>
      </c>
      <c r="F1088" s="6" t="n">
        <v>11.40803</v>
      </c>
      <c r="G1088" s="6" t="n">
        <v>79.673903</v>
      </c>
      <c r="H1088" s="6" t="n">
        <v>1</v>
      </c>
      <c r="I1088" s="6" t="n">
        <v>33</v>
      </c>
      <c r="J1088" s="6" t="s">
        <v>36</v>
      </c>
      <c r="K1088" s="7" t="b">
        <f aca="false">FALSE()</f>
        <v>0</v>
      </c>
    </row>
    <row r="1089" customFormat="false" ht="15" hidden="false" customHeight="false" outlineLevel="0" collapsed="false">
      <c r="A1089" s="6" t="n">
        <v>301646</v>
      </c>
      <c r="B1089" s="6" t="s">
        <v>1621</v>
      </c>
      <c r="C1089" s="6" t="s">
        <v>1622</v>
      </c>
      <c r="D1089" s="6" t="s">
        <v>753</v>
      </c>
      <c r="E1089" s="6" t="s">
        <v>35</v>
      </c>
      <c r="F1089" s="6" t="n">
        <v>12.065875</v>
      </c>
      <c r="G1089" s="6" t="n">
        <v>79.880271</v>
      </c>
      <c r="H1089" s="6" t="n">
        <v>1</v>
      </c>
      <c r="I1089" s="6" t="n">
        <v>30</v>
      </c>
      <c r="J1089" s="6" t="s">
        <v>36</v>
      </c>
      <c r="K1089" s="7" t="b">
        <f aca="false">FALSE()</f>
        <v>0</v>
      </c>
    </row>
    <row r="1090" customFormat="false" ht="15" hidden="false" customHeight="false" outlineLevel="0" collapsed="false">
      <c r="A1090" s="6" t="n">
        <v>301645</v>
      </c>
      <c r="B1090" s="6" t="s">
        <v>1623</v>
      </c>
      <c r="C1090" s="6" t="s">
        <v>946</v>
      </c>
      <c r="D1090" s="6" t="s">
        <v>753</v>
      </c>
      <c r="E1090" s="6" t="s">
        <v>35</v>
      </c>
      <c r="F1090" s="6" t="n">
        <v>10.652189</v>
      </c>
      <c r="G1090" s="6" t="n">
        <v>78.742142</v>
      </c>
      <c r="H1090" s="6" t="n">
        <v>1</v>
      </c>
      <c r="I1090" s="6" t="n">
        <v>30</v>
      </c>
      <c r="J1090" s="6" t="s">
        <v>36</v>
      </c>
      <c r="K1090" s="7" t="b">
        <f aca="false">FALSE()</f>
        <v>0</v>
      </c>
    </row>
    <row r="1091" customFormat="false" ht="15" hidden="false" customHeight="false" outlineLevel="0" collapsed="false">
      <c r="A1091" s="6" t="n">
        <v>301644</v>
      </c>
      <c r="B1091" s="6" t="s">
        <v>1624</v>
      </c>
      <c r="C1091" s="6" t="s">
        <v>786</v>
      </c>
      <c r="D1091" s="6" t="s">
        <v>753</v>
      </c>
      <c r="E1091" s="6" t="s">
        <v>35</v>
      </c>
      <c r="F1091" s="6" t="n">
        <v>10.80578</v>
      </c>
      <c r="G1091" s="6" t="n">
        <v>78.73219</v>
      </c>
      <c r="H1091" s="6" t="n">
        <v>1</v>
      </c>
      <c r="I1091" s="6" t="n">
        <v>30</v>
      </c>
      <c r="J1091" s="6" t="s">
        <v>36</v>
      </c>
      <c r="K1091" s="7" t="b">
        <f aca="false">FALSE()</f>
        <v>0</v>
      </c>
    </row>
    <row r="1092" customFormat="false" ht="15" hidden="false" customHeight="false" outlineLevel="0" collapsed="false">
      <c r="A1092" s="6" t="n">
        <v>301643</v>
      </c>
      <c r="B1092" s="6" t="s">
        <v>1625</v>
      </c>
      <c r="C1092" s="6" t="s">
        <v>1626</v>
      </c>
      <c r="D1092" s="6" t="s">
        <v>753</v>
      </c>
      <c r="E1092" s="6" t="s">
        <v>35</v>
      </c>
      <c r="F1092" s="6" t="n">
        <v>9.468267</v>
      </c>
      <c r="G1092" s="6" t="n">
        <v>77.566135</v>
      </c>
      <c r="H1092" s="6" t="n">
        <v>1</v>
      </c>
      <c r="I1092" s="6" t="n">
        <v>30</v>
      </c>
      <c r="J1092" s="6" t="s">
        <v>36</v>
      </c>
      <c r="K1092" s="7" t="b">
        <f aca="false">FALSE()</f>
        <v>0</v>
      </c>
    </row>
    <row r="1093" customFormat="false" ht="15" hidden="false" customHeight="false" outlineLevel="0" collapsed="false">
      <c r="A1093" s="6" t="n">
        <v>301550</v>
      </c>
      <c r="B1093" s="6" t="s">
        <v>1627</v>
      </c>
      <c r="C1093" s="6" t="s">
        <v>818</v>
      </c>
      <c r="D1093" s="6" t="s">
        <v>753</v>
      </c>
      <c r="E1093" s="6" t="s">
        <v>35</v>
      </c>
      <c r="F1093" s="6" t="n">
        <v>11.040221</v>
      </c>
      <c r="G1093" s="6" t="n">
        <v>77.040833</v>
      </c>
      <c r="H1093" s="6" t="n">
        <v>2</v>
      </c>
      <c r="I1093" s="6" t="n">
        <v>30</v>
      </c>
      <c r="J1093" s="6" t="s">
        <v>36</v>
      </c>
      <c r="K1093" s="7" t="b">
        <f aca="false">FALSE()</f>
        <v>0</v>
      </c>
    </row>
    <row r="1094" customFormat="false" ht="15" hidden="false" customHeight="false" outlineLevel="0" collapsed="false">
      <c r="A1094" s="6" t="n">
        <v>301547</v>
      </c>
      <c r="B1094" s="6" t="s">
        <v>1628</v>
      </c>
      <c r="C1094" s="6" t="s">
        <v>811</v>
      </c>
      <c r="D1094" s="6" t="s">
        <v>753</v>
      </c>
      <c r="E1094" s="6" t="s">
        <v>35</v>
      </c>
      <c r="F1094" s="6" t="n">
        <v>10.727093</v>
      </c>
      <c r="G1094" s="6" t="n">
        <v>76.929892</v>
      </c>
      <c r="H1094" s="6" t="n">
        <v>1</v>
      </c>
      <c r="I1094" s="6" t="n">
        <v>49</v>
      </c>
      <c r="J1094" s="6" t="s">
        <v>36</v>
      </c>
      <c r="K1094" s="7" t="b">
        <f aca="false">FALSE()</f>
        <v>0</v>
      </c>
    </row>
    <row r="1095" customFormat="false" ht="15" hidden="false" customHeight="false" outlineLevel="0" collapsed="false">
      <c r="A1095" s="6" t="n">
        <v>301546</v>
      </c>
      <c r="B1095" s="6" t="s">
        <v>1629</v>
      </c>
      <c r="C1095" s="6" t="s">
        <v>1630</v>
      </c>
      <c r="D1095" s="6" t="s">
        <v>753</v>
      </c>
      <c r="E1095" s="6" t="s">
        <v>35</v>
      </c>
      <c r="F1095" s="6" t="n">
        <v>11.774701</v>
      </c>
      <c r="G1095" s="6" t="n">
        <v>78.226979</v>
      </c>
      <c r="H1095" s="6" t="n">
        <v>1</v>
      </c>
      <c r="I1095" s="6" t="n">
        <v>49</v>
      </c>
      <c r="J1095" s="6" t="s">
        <v>36</v>
      </c>
      <c r="K1095" s="7" t="b">
        <f aca="false">FALSE()</f>
        <v>0</v>
      </c>
    </row>
    <row r="1096" customFormat="false" ht="15" hidden="false" customHeight="false" outlineLevel="0" collapsed="false">
      <c r="A1096" s="6" t="n">
        <v>301545</v>
      </c>
      <c r="B1096" s="6" t="s">
        <v>1631</v>
      </c>
      <c r="C1096" s="6" t="s">
        <v>1632</v>
      </c>
      <c r="D1096" s="6" t="s">
        <v>753</v>
      </c>
      <c r="E1096" s="6" t="s">
        <v>35</v>
      </c>
      <c r="F1096" s="6" t="n">
        <v>13.069597</v>
      </c>
      <c r="G1096" s="6" t="n">
        <v>80.177961</v>
      </c>
      <c r="H1096" s="6" t="n">
        <v>1</v>
      </c>
      <c r="I1096" s="6" t="n">
        <v>30</v>
      </c>
      <c r="J1096" s="6" t="s">
        <v>36</v>
      </c>
      <c r="K1096" s="7" t="b">
        <f aca="false">FALSE()</f>
        <v>0</v>
      </c>
    </row>
    <row r="1097" customFormat="false" ht="15" hidden="false" customHeight="false" outlineLevel="0" collapsed="false">
      <c r="A1097" s="6" t="n">
        <v>301544</v>
      </c>
      <c r="B1097" s="6" t="s">
        <v>1633</v>
      </c>
      <c r="C1097" s="6" t="s">
        <v>764</v>
      </c>
      <c r="D1097" s="6" t="s">
        <v>753</v>
      </c>
      <c r="E1097" s="6" t="s">
        <v>35</v>
      </c>
      <c r="F1097" s="6" t="n">
        <v>12.929099</v>
      </c>
      <c r="G1097" s="6" t="n">
        <v>79.133652</v>
      </c>
      <c r="H1097" s="6" t="n">
        <v>1</v>
      </c>
      <c r="I1097" s="6" t="n">
        <v>30</v>
      </c>
      <c r="J1097" s="6" t="s">
        <v>36</v>
      </c>
      <c r="K1097" s="7" t="b">
        <f aca="false">FALSE()</f>
        <v>0</v>
      </c>
    </row>
    <row r="1098" customFormat="false" ht="15" hidden="false" customHeight="false" outlineLevel="0" collapsed="false">
      <c r="A1098" s="6" t="n">
        <v>301543</v>
      </c>
      <c r="B1098" s="6" t="s">
        <v>1634</v>
      </c>
      <c r="C1098" s="6" t="s">
        <v>924</v>
      </c>
      <c r="D1098" s="6" t="s">
        <v>753</v>
      </c>
      <c r="E1098" s="6" t="s">
        <v>35</v>
      </c>
      <c r="F1098" s="6" t="n">
        <v>12.54195</v>
      </c>
      <c r="G1098" s="6" t="n">
        <v>78.20175</v>
      </c>
      <c r="H1098" s="6" t="n">
        <v>1</v>
      </c>
      <c r="I1098" s="6" t="n">
        <v>66</v>
      </c>
      <c r="J1098" s="6" t="s">
        <v>39</v>
      </c>
      <c r="K1098" s="7" t="b">
        <f aca="false">TRUE()</f>
        <v>1</v>
      </c>
    </row>
    <row r="1099" customFormat="false" ht="15" hidden="false" customHeight="false" outlineLevel="0" collapsed="false">
      <c r="A1099" s="6" t="n">
        <v>301542</v>
      </c>
      <c r="B1099" s="6" t="s">
        <v>1635</v>
      </c>
      <c r="C1099" s="6" t="s">
        <v>800</v>
      </c>
      <c r="D1099" s="6" t="s">
        <v>753</v>
      </c>
      <c r="E1099" s="6" t="s">
        <v>35</v>
      </c>
      <c r="F1099" s="6" t="n">
        <v>9.357268</v>
      </c>
      <c r="G1099" s="6" t="n">
        <v>11.301994</v>
      </c>
      <c r="H1099" s="6" t="n">
        <v>1</v>
      </c>
      <c r="I1099" s="6" t="n">
        <v>44</v>
      </c>
      <c r="J1099" s="6" t="s">
        <v>36</v>
      </c>
      <c r="K1099" s="7" t="b">
        <f aca="false">FALSE()</f>
        <v>0</v>
      </c>
    </row>
    <row r="1100" customFormat="false" ht="15" hidden="false" customHeight="false" outlineLevel="0" collapsed="false">
      <c r="A1100" s="6" t="n">
        <v>301541</v>
      </c>
      <c r="B1100" s="6" t="s">
        <v>1636</v>
      </c>
      <c r="C1100" s="6" t="s">
        <v>848</v>
      </c>
      <c r="D1100" s="6" t="s">
        <v>753</v>
      </c>
      <c r="E1100" s="6" t="s">
        <v>35</v>
      </c>
      <c r="F1100" s="6" t="n">
        <v>9.357268</v>
      </c>
      <c r="G1100" s="6" t="n">
        <v>78.873609</v>
      </c>
      <c r="H1100" s="6" t="n">
        <v>1</v>
      </c>
      <c r="I1100" s="6" t="n">
        <v>35</v>
      </c>
      <c r="J1100" s="6" t="s">
        <v>36</v>
      </c>
      <c r="K1100" s="7" t="b">
        <f aca="false">FALSE()</f>
        <v>0</v>
      </c>
    </row>
    <row r="1101" customFormat="false" ht="15" hidden="false" customHeight="false" outlineLevel="0" collapsed="false">
      <c r="A1101" s="6" t="n">
        <v>301540</v>
      </c>
      <c r="B1101" s="6" t="s">
        <v>1637</v>
      </c>
      <c r="C1101" s="6" t="s">
        <v>1638</v>
      </c>
      <c r="D1101" s="6" t="s">
        <v>753</v>
      </c>
      <c r="E1101" s="6" t="s">
        <v>35</v>
      </c>
      <c r="F1101" s="6" t="n">
        <v>10.443031</v>
      </c>
      <c r="G1101" s="6" t="n">
        <v>77.516171</v>
      </c>
      <c r="H1101" s="6" t="n">
        <v>1</v>
      </c>
      <c r="I1101" s="6" t="n">
        <v>49</v>
      </c>
      <c r="J1101" s="6" t="s">
        <v>36</v>
      </c>
      <c r="K1101" s="7" t="b">
        <f aca="false">FALSE()</f>
        <v>0</v>
      </c>
    </row>
    <row r="1102" customFormat="false" ht="15" hidden="false" customHeight="false" outlineLevel="0" collapsed="false">
      <c r="A1102" s="6" t="n">
        <v>301539</v>
      </c>
      <c r="B1102" s="6" t="s">
        <v>1639</v>
      </c>
      <c r="C1102" s="6" t="s">
        <v>1640</v>
      </c>
      <c r="D1102" s="6" t="s">
        <v>753</v>
      </c>
      <c r="E1102" s="6" t="s">
        <v>35</v>
      </c>
      <c r="F1102" s="6" t="n">
        <v>9.987081</v>
      </c>
      <c r="G1102" s="6" t="n">
        <v>78.241544</v>
      </c>
      <c r="H1102" s="6" t="n">
        <v>1</v>
      </c>
      <c r="I1102" s="6" t="n">
        <v>37</v>
      </c>
      <c r="J1102" s="6" t="s">
        <v>36</v>
      </c>
      <c r="K1102" s="7" t="b">
        <f aca="false">FALSE()</f>
        <v>0</v>
      </c>
    </row>
    <row r="1103" customFormat="false" ht="15" hidden="false" customHeight="false" outlineLevel="0" collapsed="false">
      <c r="A1103" s="6" t="n">
        <v>301365</v>
      </c>
      <c r="B1103" s="6" t="s">
        <v>1635</v>
      </c>
      <c r="C1103" s="6" t="s">
        <v>1641</v>
      </c>
      <c r="D1103" s="6" t="s">
        <v>753</v>
      </c>
      <c r="E1103" s="6" t="s">
        <v>35</v>
      </c>
      <c r="F1103" s="6" t="n">
        <v>11.230771</v>
      </c>
      <c r="G1103" s="6" t="n">
        <v>78.573009</v>
      </c>
      <c r="H1103" s="6" t="n">
        <v>1</v>
      </c>
      <c r="I1103" s="6" t="n">
        <v>44</v>
      </c>
      <c r="J1103" s="6" t="s">
        <v>36</v>
      </c>
      <c r="K1103" s="7" t="b">
        <f aca="false">FALSE()</f>
        <v>0</v>
      </c>
    </row>
    <row r="1104" customFormat="false" ht="15" hidden="false" customHeight="false" outlineLevel="0" collapsed="false">
      <c r="A1104" s="6" t="n">
        <v>301229</v>
      </c>
      <c r="B1104" s="6" t="s">
        <v>1642</v>
      </c>
      <c r="C1104" s="6" t="s">
        <v>1643</v>
      </c>
      <c r="D1104" s="6" t="s">
        <v>753</v>
      </c>
      <c r="E1104" s="6" t="s">
        <v>35</v>
      </c>
      <c r="F1104" s="6" t="n">
        <v>12.853014</v>
      </c>
      <c r="G1104" s="6" t="n">
        <v>78.817035</v>
      </c>
      <c r="H1104" s="6" t="n">
        <v>10</v>
      </c>
      <c r="I1104" s="6" t="n">
        <v>120</v>
      </c>
      <c r="J1104" s="6" t="s">
        <v>39</v>
      </c>
      <c r="K1104" s="7" t="b">
        <f aca="false">TRUE()</f>
        <v>1</v>
      </c>
    </row>
    <row r="1105" customFormat="false" ht="15" hidden="false" customHeight="false" outlineLevel="0" collapsed="false">
      <c r="A1105" s="6" t="n">
        <v>301228</v>
      </c>
      <c r="B1105" s="6" t="s">
        <v>1644</v>
      </c>
      <c r="C1105" s="6" t="s">
        <v>1645</v>
      </c>
      <c r="D1105" s="6" t="s">
        <v>753</v>
      </c>
      <c r="E1105" s="6" t="s">
        <v>35</v>
      </c>
      <c r="F1105" s="6" t="n">
        <v>12.007026</v>
      </c>
      <c r="G1105" s="6" t="n">
        <v>78.080843</v>
      </c>
      <c r="H1105" s="6" t="n">
        <v>2</v>
      </c>
      <c r="I1105" s="6" t="n">
        <v>82</v>
      </c>
      <c r="J1105" s="6" t="s">
        <v>39</v>
      </c>
      <c r="K1105" s="7" t="b">
        <f aca="false">TRUE()</f>
        <v>1</v>
      </c>
    </row>
    <row r="1106" customFormat="false" ht="15" hidden="false" customHeight="false" outlineLevel="0" collapsed="false">
      <c r="A1106" s="6" t="n">
        <v>301227</v>
      </c>
      <c r="B1106" s="6" t="s">
        <v>1646</v>
      </c>
      <c r="C1106" s="6" t="s">
        <v>767</v>
      </c>
      <c r="D1106" s="6" t="s">
        <v>753</v>
      </c>
      <c r="E1106" s="6" t="s">
        <v>35</v>
      </c>
      <c r="F1106" s="6" t="n">
        <v>12.648754</v>
      </c>
      <c r="G1106" s="6" t="n">
        <v>78.583329</v>
      </c>
      <c r="H1106" s="6" t="n">
        <v>1</v>
      </c>
      <c r="I1106" s="6" t="n">
        <v>40</v>
      </c>
      <c r="J1106" s="6" t="s">
        <v>36</v>
      </c>
      <c r="K1106" s="7" t="b">
        <f aca="false">FALSE()</f>
        <v>0</v>
      </c>
    </row>
    <row r="1107" customFormat="false" ht="15" hidden="false" customHeight="false" outlineLevel="0" collapsed="false">
      <c r="A1107" s="6" t="n">
        <v>301226</v>
      </c>
      <c r="B1107" s="6" t="s">
        <v>1647</v>
      </c>
      <c r="C1107" s="6" t="s">
        <v>1648</v>
      </c>
      <c r="D1107" s="6" t="s">
        <v>753</v>
      </c>
      <c r="E1107" s="6" t="s">
        <v>35</v>
      </c>
      <c r="F1107" s="6" t="n">
        <v>12.236394</v>
      </c>
      <c r="G1107" s="6" t="n">
        <v>79.089601</v>
      </c>
      <c r="H1107" s="6" t="n">
        <v>1</v>
      </c>
      <c r="I1107" s="6" t="n">
        <v>40</v>
      </c>
      <c r="J1107" s="6" t="s">
        <v>36</v>
      </c>
      <c r="K1107" s="7" t="b">
        <f aca="false">FALSE()</f>
        <v>0</v>
      </c>
    </row>
    <row r="1108" customFormat="false" ht="15" hidden="false" customHeight="false" outlineLevel="0" collapsed="false">
      <c r="A1108" s="6" t="n">
        <v>301155</v>
      </c>
      <c r="B1108" s="6" t="s">
        <v>1649</v>
      </c>
      <c r="C1108" s="6" t="s">
        <v>1650</v>
      </c>
      <c r="D1108" s="6" t="s">
        <v>753</v>
      </c>
      <c r="E1108" s="6" t="s">
        <v>35</v>
      </c>
      <c r="F1108" s="6" t="n">
        <v>12.240345</v>
      </c>
      <c r="G1108" s="6" t="n">
        <v>79.662282</v>
      </c>
      <c r="H1108" s="6" t="n">
        <v>1</v>
      </c>
      <c r="I1108" s="6" t="n">
        <v>110</v>
      </c>
      <c r="J1108" s="6" t="s">
        <v>39</v>
      </c>
      <c r="K1108" s="7" t="b">
        <f aca="false">TRUE()</f>
        <v>1</v>
      </c>
    </row>
    <row r="1109" customFormat="false" ht="15" hidden="false" customHeight="false" outlineLevel="0" collapsed="false">
      <c r="A1109" s="6" t="n">
        <v>301154</v>
      </c>
      <c r="B1109" s="6" t="s">
        <v>1651</v>
      </c>
      <c r="C1109" s="6" t="s">
        <v>1652</v>
      </c>
      <c r="D1109" s="6" t="s">
        <v>753</v>
      </c>
      <c r="E1109" s="6" t="s">
        <v>35</v>
      </c>
      <c r="F1109" s="6" t="n">
        <v>12.903605</v>
      </c>
      <c r="G1109" s="6" t="n">
        <v>80.167116</v>
      </c>
      <c r="H1109" s="6" t="n">
        <v>1</v>
      </c>
      <c r="I1109" s="6" t="n">
        <v>60</v>
      </c>
      <c r="J1109" s="6" t="s">
        <v>39</v>
      </c>
      <c r="K1109" s="7" t="b">
        <f aca="false">TRUE()</f>
        <v>1</v>
      </c>
    </row>
    <row r="1110" customFormat="false" ht="15" hidden="false" customHeight="false" outlineLevel="0" collapsed="false">
      <c r="A1110" s="6" t="n">
        <v>301153</v>
      </c>
      <c r="B1110" s="6" t="s">
        <v>1653</v>
      </c>
      <c r="C1110" s="6" t="s">
        <v>1654</v>
      </c>
      <c r="D1110" s="6" t="s">
        <v>753</v>
      </c>
      <c r="E1110" s="6" t="s">
        <v>35</v>
      </c>
      <c r="F1110" s="6" t="n">
        <v>13.036017</v>
      </c>
      <c r="G1110" s="6" t="n">
        <v>80.046517</v>
      </c>
      <c r="H1110" s="6" t="n">
        <v>1</v>
      </c>
      <c r="I1110" s="6" t="n">
        <v>30</v>
      </c>
      <c r="J1110" s="6" t="s">
        <v>36</v>
      </c>
      <c r="K1110" s="7" t="b">
        <f aca="false">FALSE()</f>
        <v>0</v>
      </c>
    </row>
    <row r="1111" customFormat="false" ht="15" hidden="false" customHeight="false" outlineLevel="0" collapsed="false">
      <c r="A1111" s="6" t="n">
        <v>300747</v>
      </c>
      <c r="B1111" s="6" t="s">
        <v>1655</v>
      </c>
      <c r="C1111" s="6" t="s">
        <v>1656</v>
      </c>
      <c r="D1111" s="6" t="s">
        <v>753</v>
      </c>
      <c r="E1111" s="6" t="s">
        <v>35</v>
      </c>
      <c r="F1111" s="6" t="n">
        <v>12.24066</v>
      </c>
      <c r="G1111" s="6" t="n">
        <v>79.663151</v>
      </c>
      <c r="H1111" s="6" t="n">
        <v>1</v>
      </c>
      <c r="I1111" s="6" t="n">
        <v>49</v>
      </c>
      <c r="J1111" s="6" t="s">
        <v>36</v>
      </c>
      <c r="K1111" s="7" t="b">
        <f aca="false">FALSE()</f>
        <v>0</v>
      </c>
    </row>
    <row r="1112" customFormat="false" ht="15" hidden="false" customHeight="false" outlineLevel="0" collapsed="false">
      <c r="A1112" s="6" t="n">
        <v>300746</v>
      </c>
      <c r="B1112" s="6" t="s">
        <v>1657</v>
      </c>
      <c r="C1112" s="6" t="s">
        <v>1658</v>
      </c>
      <c r="D1112" s="6" t="s">
        <v>753</v>
      </c>
      <c r="E1112" s="6" t="s">
        <v>35</v>
      </c>
      <c r="F1112" s="6" t="n">
        <v>12.385302</v>
      </c>
      <c r="G1112" s="6" t="n">
        <v>79.796005</v>
      </c>
      <c r="H1112" s="6" t="n">
        <v>1</v>
      </c>
      <c r="I1112" s="6" t="n">
        <v>49</v>
      </c>
      <c r="J1112" s="6" t="s">
        <v>36</v>
      </c>
      <c r="K1112" s="7" t="b">
        <f aca="false">FALSE()</f>
        <v>0</v>
      </c>
    </row>
    <row r="1113" customFormat="false" ht="15" hidden="false" customHeight="false" outlineLevel="0" collapsed="false">
      <c r="A1113" s="6" t="n">
        <v>300745</v>
      </c>
      <c r="B1113" s="6" t="s">
        <v>1659</v>
      </c>
      <c r="C1113" s="6" t="s">
        <v>760</v>
      </c>
      <c r="D1113" s="6" t="s">
        <v>753</v>
      </c>
      <c r="E1113" s="6" t="s">
        <v>35</v>
      </c>
      <c r="F1113" s="6" t="n">
        <v>13.100809</v>
      </c>
      <c r="G1113" s="6" t="n">
        <v>80.190598</v>
      </c>
      <c r="H1113" s="6" t="n">
        <v>1</v>
      </c>
      <c r="I1113" s="6" t="n">
        <v>30</v>
      </c>
      <c r="J1113" s="6" t="s">
        <v>36</v>
      </c>
      <c r="K1113" s="7" t="b">
        <f aca="false">FALSE()</f>
        <v>0</v>
      </c>
    </row>
    <row r="1114" customFormat="false" ht="15" hidden="false" customHeight="false" outlineLevel="0" collapsed="false">
      <c r="A1114" s="6" t="n">
        <v>300744</v>
      </c>
      <c r="B1114" s="6" t="s">
        <v>1660</v>
      </c>
      <c r="C1114" s="6" t="s">
        <v>760</v>
      </c>
      <c r="D1114" s="6" t="s">
        <v>753</v>
      </c>
      <c r="E1114" s="6" t="s">
        <v>35</v>
      </c>
      <c r="F1114" s="6" t="n">
        <v>13.100809</v>
      </c>
      <c r="G1114" s="6" t="n">
        <v>80.190598</v>
      </c>
      <c r="H1114" s="6" t="n">
        <v>1</v>
      </c>
      <c r="I1114" s="6" t="n">
        <v>60</v>
      </c>
      <c r="J1114" s="6" t="s">
        <v>39</v>
      </c>
      <c r="K1114" s="7" t="b">
        <f aca="false">TRUE()</f>
        <v>1</v>
      </c>
    </row>
    <row r="1115" customFormat="false" ht="15" hidden="false" customHeight="false" outlineLevel="0" collapsed="false">
      <c r="A1115" s="6" t="n">
        <v>298738</v>
      </c>
      <c r="B1115" s="6" t="s">
        <v>1661</v>
      </c>
      <c r="C1115" s="6" t="s">
        <v>946</v>
      </c>
      <c r="D1115" s="6" t="s">
        <v>72</v>
      </c>
      <c r="E1115" s="6" t="s">
        <v>35</v>
      </c>
      <c r="F1115" s="6" t="n">
        <v>19.139951</v>
      </c>
      <c r="G1115" s="6" t="n">
        <v>72.851974</v>
      </c>
      <c r="H1115" s="6" t="n">
        <v>1</v>
      </c>
      <c r="I1115" s="6"/>
      <c r="J1115" s="6" t="s">
        <v>43</v>
      </c>
      <c r="K1115" s="7" t="b">
        <f aca="false">FALSE()</f>
        <v>0</v>
      </c>
    </row>
    <row r="1116" customFormat="false" ht="15" hidden="false" customHeight="false" outlineLevel="0" collapsed="false">
      <c r="A1116" s="6" t="n">
        <v>297821</v>
      </c>
      <c r="B1116" s="6" t="s">
        <v>1662</v>
      </c>
      <c r="C1116" s="6" t="s">
        <v>519</v>
      </c>
      <c r="D1116" s="6" t="s">
        <v>46</v>
      </c>
      <c r="E1116" s="6" t="s">
        <v>35</v>
      </c>
      <c r="F1116" s="6" t="n">
        <v>9.894288</v>
      </c>
      <c r="G1116" s="6" t="n">
        <v>76.715871</v>
      </c>
      <c r="H1116" s="6" t="n">
        <v>1</v>
      </c>
      <c r="I1116" s="6" t="n">
        <v>24</v>
      </c>
      <c r="J1116" s="6" t="s">
        <v>36</v>
      </c>
      <c r="K1116" s="7" t="b">
        <f aca="false">FALSE()</f>
        <v>0</v>
      </c>
    </row>
    <row r="1117" customFormat="false" ht="15" hidden="false" customHeight="false" outlineLevel="0" collapsed="false">
      <c r="A1117" s="6" t="n">
        <v>297660</v>
      </c>
      <c r="B1117" s="6" t="s">
        <v>1663</v>
      </c>
      <c r="C1117" s="6" t="s">
        <v>1664</v>
      </c>
      <c r="D1117" s="6" t="s">
        <v>34</v>
      </c>
      <c r="E1117" s="6" t="s">
        <v>35</v>
      </c>
      <c r="F1117" s="6" t="n">
        <v>12.335349</v>
      </c>
      <c r="G1117" s="6" t="n">
        <v>76.620128</v>
      </c>
      <c r="H1117" s="6" t="n">
        <v>1</v>
      </c>
      <c r="I1117" s="6" t="n">
        <v>11</v>
      </c>
      <c r="J1117" s="6" t="s">
        <v>756</v>
      </c>
      <c r="K1117" s="7" t="b">
        <f aca="false">FALSE()</f>
        <v>0</v>
      </c>
    </row>
    <row r="1118" customFormat="false" ht="15" hidden="false" customHeight="false" outlineLevel="0" collapsed="false">
      <c r="A1118" s="6" t="n">
        <v>297630</v>
      </c>
      <c r="B1118" s="6" t="s">
        <v>1665</v>
      </c>
      <c r="C1118" s="6" t="s">
        <v>1666</v>
      </c>
      <c r="D1118" s="6" t="s">
        <v>34</v>
      </c>
      <c r="E1118" s="6" t="s">
        <v>35</v>
      </c>
      <c r="F1118" s="6" t="n">
        <v>15.16839</v>
      </c>
      <c r="G1118" s="6" t="n">
        <v>75.14055</v>
      </c>
      <c r="H1118" s="6" t="n">
        <v>1</v>
      </c>
      <c r="I1118" s="6" t="n">
        <v>50</v>
      </c>
      <c r="J1118" s="6" t="s">
        <v>39</v>
      </c>
      <c r="K1118" s="7" t="b">
        <f aca="false">TRUE()</f>
        <v>1</v>
      </c>
    </row>
    <row r="1119" customFormat="false" ht="15" hidden="false" customHeight="false" outlineLevel="0" collapsed="false">
      <c r="A1119" s="6" t="n">
        <v>297629</v>
      </c>
      <c r="B1119" s="6" t="s">
        <v>1667</v>
      </c>
      <c r="C1119" s="6" t="s">
        <v>1668</v>
      </c>
      <c r="D1119" s="6" t="s">
        <v>34</v>
      </c>
      <c r="E1119" s="6" t="s">
        <v>35</v>
      </c>
      <c r="F1119" s="6" t="n">
        <v>14.57297</v>
      </c>
      <c r="G1119" s="6" t="n">
        <v>75.69027</v>
      </c>
      <c r="H1119" s="6" t="n">
        <v>1</v>
      </c>
      <c r="I1119" s="6" t="n">
        <v>60</v>
      </c>
      <c r="J1119" s="6" t="s">
        <v>39</v>
      </c>
      <c r="K1119" s="7" t="b">
        <f aca="false">TRUE()</f>
        <v>1</v>
      </c>
    </row>
    <row r="1120" customFormat="false" ht="15" hidden="false" customHeight="false" outlineLevel="0" collapsed="false">
      <c r="A1120" s="6" t="n">
        <v>297628</v>
      </c>
      <c r="B1120" s="6" t="s">
        <v>1669</v>
      </c>
      <c r="C1120" s="6" t="s">
        <v>1670</v>
      </c>
      <c r="D1120" s="6" t="s">
        <v>34</v>
      </c>
      <c r="E1120" s="6" t="s">
        <v>35</v>
      </c>
      <c r="F1120" s="6" t="n">
        <v>10.081199</v>
      </c>
      <c r="G1120" s="6" t="n">
        <v>77.630117</v>
      </c>
      <c r="H1120" s="6" t="n">
        <v>1</v>
      </c>
      <c r="I1120" s="6" t="n">
        <v>24</v>
      </c>
      <c r="J1120" s="6" t="s">
        <v>36</v>
      </c>
      <c r="K1120" s="7" t="b">
        <f aca="false">FALSE()</f>
        <v>0</v>
      </c>
    </row>
    <row r="1121" customFormat="false" ht="15" hidden="false" customHeight="false" outlineLevel="0" collapsed="false">
      <c r="A1121" s="6" t="n">
        <v>297627</v>
      </c>
      <c r="B1121" s="6" t="s">
        <v>1671</v>
      </c>
      <c r="C1121" s="6" t="s">
        <v>1620</v>
      </c>
      <c r="D1121" s="6" t="s">
        <v>753</v>
      </c>
      <c r="E1121" s="6" t="s">
        <v>35</v>
      </c>
      <c r="F1121" s="6" t="n">
        <v>11.485037</v>
      </c>
      <c r="G1121" s="6" t="n">
        <v>78.019711</v>
      </c>
      <c r="H1121" s="6" t="n">
        <v>1</v>
      </c>
      <c r="I1121" s="6" t="n">
        <v>30</v>
      </c>
      <c r="J1121" s="6" t="s">
        <v>36</v>
      </c>
      <c r="K1121" s="7" t="b">
        <f aca="false">FALSE()</f>
        <v>0</v>
      </c>
    </row>
    <row r="1122" customFormat="false" ht="15" hidden="false" customHeight="false" outlineLevel="0" collapsed="false">
      <c r="A1122" s="6" t="n">
        <v>297626</v>
      </c>
      <c r="B1122" s="6" t="s">
        <v>1672</v>
      </c>
      <c r="C1122" s="6" t="s">
        <v>1673</v>
      </c>
      <c r="D1122" s="6" t="s">
        <v>753</v>
      </c>
      <c r="E1122" s="6" t="s">
        <v>35</v>
      </c>
      <c r="F1122" s="6" t="n">
        <v>11.485037</v>
      </c>
      <c r="G1122" s="6" t="n">
        <v>78.019711</v>
      </c>
      <c r="H1122" s="6" t="n">
        <v>1</v>
      </c>
      <c r="I1122" s="6" t="n">
        <v>30</v>
      </c>
      <c r="J1122" s="6" t="s">
        <v>36</v>
      </c>
      <c r="K1122" s="7" t="b">
        <f aca="false">FALSE()</f>
        <v>0</v>
      </c>
    </row>
    <row r="1123" customFormat="false" ht="15" hidden="false" customHeight="false" outlineLevel="0" collapsed="false">
      <c r="A1123" s="6" t="n">
        <v>297625</v>
      </c>
      <c r="B1123" s="6" t="s">
        <v>1674</v>
      </c>
      <c r="C1123" s="6" t="s">
        <v>1675</v>
      </c>
      <c r="D1123" s="6" t="s">
        <v>753</v>
      </c>
      <c r="E1123" s="6" t="s">
        <v>35</v>
      </c>
      <c r="F1123" s="6" t="n">
        <v>12.24692</v>
      </c>
      <c r="G1123" s="6" t="n">
        <v>78.075769</v>
      </c>
      <c r="H1123" s="6" t="n">
        <v>1</v>
      </c>
      <c r="I1123" s="6" t="n">
        <v>30</v>
      </c>
      <c r="J1123" s="6" t="s">
        <v>36</v>
      </c>
      <c r="K1123" s="7" t="b">
        <f aca="false">FALSE()</f>
        <v>0</v>
      </c>
    </row>
    <row r="1124" customFormat="false" ht="15" hidden="false" customHeight="false" outlineLevel="0" collapsed="false">
      <c r="A1124" s="6" t="n">
        <v>297624</v>
      </c>
      <c r="B1124" s="6" t="s">
        <v>1676</v>
      </c>
      <c r="C1124" s="6" t="s">
        <v>1677</v>
      </c>
      <c r="D1124" s="6" t="s">
        <v>753</v>
      </c>
      <c r="E1124" s="6" t="s">
        <v>35</v>
      </c>
      <c r="F1124" s="6" t="n">
        <v>8.66847</v>
      </c>
      <c r="G1124" s="6" t="n">
        <v>77.71834</v>
      </c>
      <c r="H1124" s="6" t="n">
        <v>1</v>
      </c>
      <c r="I1124" s="6" t="n">
        <v>60</v>
      </c>
      <c r="J1124" s="6" t="s">
        <v>39</v>
      </c>
      <c r="K1124" s="7" t="b">
        <f aca="false">TRUE()</f>
        <v>1</v>
      </c>
    </row>
    <row r="1125" customFormat="false" ht="15" hidden="false" customHeight="false" outlineLevel="0" collapsed="false">
      <c r="A1125" s="6" t="n">
        <v>297622</v>
      </c>
      <c r="B1125" s="6" t="s">
        <v>1678</v>
      </c>
      <c r="C1125" s="6" t="s">
        <v>1677</v>
      </c>
      <c r="D1125" s="6" t="s">
        <v>753</v>
      </c>
      <c r="E1125" s="6" t="s">
        <v>35</v>
      </c>
      <c r="F1125" s="6" t="n">
        <v>8.72921</v>
      </c>
      <c r="G1125" s="6" t="n">
        <v>77.72092</v>
      </c>
      <c r="H1125" s="6" t="n">
        <v>1</v>
      </c>
      <c r="I1125" s="6" t="n">
        <v>50</v>
      </c>
      <c r="J1125" s="6" t="s">
        <v>39</v>
      </c>
      <c r="K1125" s="7" t="b">
        <f aca="false">TRUE()</f>
        <v>1</v>
      </c>
    </row>
    <row r="1126" customFormat="false" ht="15" hidden="false" customHeight="false" outlineLevel="0" collapsed="false">
      <c r="A1126" s="6" t="n">
        <v>297621</v>
      </c>
      <c r="B1126" s="6" t="s">
        <v>1679</v>
      </c>
      <c r="C1126" s="6" t="s">
        <v>368</v>
      </c>
      <c r="D1126" s="6" t="s">
        <v>34</v>
      </c>
      <c r="E1126" s="6" t="s">
        <v>35</v>
      </c>
      <c r="F1126" s="6" t="n">
        <v>12.336276</v>
      </c>
      <c r="G1126" s="6" t="n">
        <v>76.618747</v>
      </c>
      <c r="H1126" s="6" t="n">
        <v>1</v>
      </c>
      <c r="I1126" s="6" t="n">
        <v>100</v>
      </c>
      <c r="J1126" s="6" t="s">
        <v>39</v>
      </c>
      <c r="K1126" s="7" t="b">
        <f aca="false">TRUE()</f>
        <v>1</v>
      </c>
    </row>
    <row r="1127" customFormat="false" ht="15" hidden="false" customHeight="false" outlineLevel="0" collapsed="false">
      <c r="A1127" s="6" t="n">
        <v>279447</v>
      </c>
      <c r="B1127" s="6" t="s">
        <v>1680</v>
      </c>
      <c r="C1127" s="6" t="s">
        <v>1597</v>
      </c>
      <c r="D1127" s="6" t="s">
        <v>723</v>
      </c>
      <c r="E1127" s="6" t="s">
        <v>35</v>
      </c>
      <c r="F1127" s="6" t="n">
        <v>28.462238</v>
      </c>
      <c r="G1127" s="6" t="n">
        <v>77.491286</v>
      </c>
      <c r="H1127" s="6" t="n">
        <v>1</v>
      </c>
      <c r="I1127" s="6" t="n">
        <v>2.5</v>
      </c>
      <c r="J1127" s="6" t="s">
        <v>126</v>
      </c>
      <c r="K1127" s="7" t="b">
        <f aca="false">FALSE()</f>
        <v>0</v>
      </c>
    </row>
    <row r="1128" customFormat="false" ht="15" hidden="false" customHeight="false" outlineLevel="0" collapsed="false">
      <c r="A1128" s="6" t="n">
        <v>273116</v>
      </c>
      <c r="B1128" s="6" t="s">
        <v>1681</v>
      </c>
      <c r="C1128" s="6" t="s">
        <v>1360</v>
      </c>
      <c r="D1128" s="6" t="s">
        <v>34</v>
      </c>
      <c r="E1128" s="6" t="s">
        <v>35</v>
      </c>
      <c r="F1128" s="6" t="n">
        <v>12.17768</v>
      </c>
      <c r="G1128" s="6" t="n">
        <v>75.90516</v>
      </c>
      <c r="H1128" s="6" t="n">
        <v>1</v>
      </c>
      <c r="I1128" s="6" t="n">
        <v>24</v>
      </c>
      <c r="J1128" s="6" t="s">
        <v>36</v>
      </c>
      <c r="K1128" s="7" t="b">
        <f aca="false">FALSE()</f>
        <v>0</v>
      </c>
    </row>
    <row r="1129" customFormat="false" ht="15" hidden="false" customHeight="false" outlineLevel="0" collapsed="false">
      <c r="A1129" s="6" t="n">
        <v>267109</v>
      </c>
      <c r="B1129" s="6" t="s">
        <v>1682</v>
      </c>
      <c r="C1129" s="6" t="s">
        <v>66</v>
      </c>
      <c r="D1129" s="6" t="s">
        <v>46</v>
      </c>
      <c r="E1129" s="6" t="s">
        <v>35</v>
      </c>
      <c r="F1129" s="6" t="n">
        <v>10.537654</v>
      </c>
      <c r="G1129" s="6" t="n">
        <v>76.197149</v>
      </c>
      <c r="H1129" s="6" t="n">
        <v>3</v>
      </c>
      <c r="I1129" s="6" t="n">
        <v>2.5</v>
      </c>
      <c r="J1129" s="6" t="s">
        <v>126</v>
      </c>
      <c r="K1129" s="7" t="b">
        <f aca="false">FALSE()</f>
        <v>0</v>
      </c>
    </row>
    <row r="1130" customFormat="false" ht="15" hidden="false" customHeight="false" outlineLevel="0" collapsed="false">
      <c r="A1130" s="6" t="n">
        <v>266916</v>
      </c>
      <c r="B1130" s="6" t="s">
        <v>1683</v>
      </c>
      <c r="C1130" s="6" t="s">
        <v>66</v>
      </c>
      <c r="D1130" s="6" t="s">
        <v>46</v>
      </c>
      <c r="E1130" s="6" t="s">
        <v>35</v>
      </c>
      <c r="F1130" s="6" t="n">
        <v>10.559346</v>
      </c>
      <c r="G1130" s="6" t="n">
        <v>76.217358</v>
      </c>
      <c r="H1130" s="6" t="n">
        <v>1</v>
      </c>
      <c r="I1130" s="6" t="n">
        <v>30</v>
      </c>
      <c r="J1130" s="6" t="s">
        <v>36</v>
      </c>
      <c r="K1130" s="7" t="b">
        <f aca="false">FALSE()</f>
        <v>0</v>
      </c>
    </row>
    <row r="1131" customFormat="false" ht="15" hidden="false" customHeight="false" outlineLevel="0" collapsed="false">
      <c r="A1131" s="6" t="n">
        <v>266276</v>
      </c>
      <c r="B1131" s="6" t="s">
        <v>1684</v>
      </c>
      <c r="C1131" s="6" t="s">
        <v>482</v>
      </c>
      <c r="D1131" s="6" t="s">
        <v>46</v>
      </c>
      <c r="E1131" s="6" t="s">
        <v>35</v>
      </c>
      <c r="F1131" s="6" t="n">
        <v>10.005395</v>
      </c>
      <c r="G1131" s="6" t="n">
        <v>76.304722</v>
      </c>
      <c r="H1131" s="6" t="n">
        <v>2</v>
      </c>
      <c r="I1131" s="6" t="n">
        <v>50</v>
      </c>
      <c r="J1131" s="6" t="s">
        <v>39</v>
      </c>
      <c r="K1131" s="7" t="b">
        <f aca="false">TRUE()</f>
        <v>1</v>
      </c>
    </row>
    <row r="1132" customFormat="false" ht="15" hidden="false" customHeight="false" outlineLevel="0" collapsed="false">
      <c r="A1132" s="6" t="n">
        <v>259197</v>
      </c>
      <c r="B1132" s="6" t="s">
        <v>1685</v>
      </c>
      <c r="C1132" s="6" t="s">
        <v>1686</v>
      </c>
      <c r="D1132" s="6" t="s">
        <v>1471</v>
      </c>
      <c r="E1132" s="6" t="s">
        <v>35</v>
      </c>
      <c r="F1132" s="6" t="n">
        <v>23.023923</v>
      </c>
      <c r="G1132" s="6" t="n">
        <v>72.45893</v>
      </c>
      <c r="H1132" s="6" t="n">
        <v>1</v>
      </c>
      <c r="I1132" s="6" t="n">
        <v>3.6</v>
      </c>
      <c r="J1132" s="6" t="s">
        <v>126</v>
      </c>
      <c r="K1132" s="7" t="b">
        <f aca="false">FALSE()</f>
        <v>0</v>
      </c>
    </row>
    <row r="1133" customFormat="false" ht="15" hidden="false" customHeight="false" outlineLevel="0" collapsed="false">
      <c r="A1133" s="6" t="n">
        <v>258754</v>
      </c>
      <c r="B1133" s="6" t="s">
        <v>1687</v>
      </c>
      <c r="C1133" s="6" t="s">
        <v>1470</v>
      </c>
      <c r="D1133" s="6" t="s">
        <v>1471</v>
      </c>
      <c r="E1133" s="6" t="s">
        <v>35</v>
      </c>
      <c r="F1133" s="6" t="n">
        <v>23.175841</v>
      </c>
      <c r="G1133" s="6" t="n">
        <v>72.626749</v>
      </c>
      <c r="H1133" s="6" t="n">
        <v>1</v>
      </c>
      <c r="I1133" s="6"/>
      <c r="J1133" s="6" t="s">
        <v>43</v>
      </c>
      <c r="K1133" s="7" t="b">
        <f aca="false">FALSE()</f>
        <v>0</v>
      </c>
    </row>
    <row r="1134" customFormat="false" ht="15" hidden="false" customHeight="false" outlineLevel="0" collapsed="false">
      <c r="A1134" s="6" t="n">
        <v>258753</v>
      </c>
      <c r="B1134" s="6" t="s">
        <v>1688</v>
      </c>
      <c r="C1134" s="6" t="s">
        <v>1686</v>
      </c>
      <c r="D1134" s="6" t="s">
        <v>1471</v>
      </c>
      <c r="E1134" s="6" t="s">
        <v>35</v>
      </c>
      <c r="F1134" s="6" t="n">
        <v>22.996682</v>
      </c>
      <c r="G1134" s="6" t="n">
        <v>72.358151</v>
      </c>
      <c r="H1134" s="6" t="n">
        <v>1</v>
      </c>
      <c r="I1134" s="6" t="n">
        <v>50</v>
      </c>
      <c r="J1134" s="6" t="s">
        <v>39</v>
      </c>
      <c r="K1134" s="7" t="b">
        <f aca="false">TRUE()</f>
        <v>1</v>
      </c>
    </row>
    <row r="1135" customFormat="false" ht="15" hidden="false" customHeight="false" outlineLevel="0" collapsed="false">
      <c r="A1135" s="6" t="n">
        <v>258572</v>
      </c>
      <c r="B1135" s="6" t="s">
        <v>1689</v>
      </c>
      <c r="C1135" s="6" t="s">
        <v>1470</v>
      </c>
      <c r="D1135" s="6" t="s">
        <v>1471</v>
      </c>
      <c r="E1135" s="6" t="s">
        <v>35</v>
      </c>
      <c r="F1135" s="6" t="n">
        <v>23.231491</v>
      </c>
      <c r="G1135" s="6" t="n">
        <v>72.667364</v>
      </c>
      <c r="H1135" s="6" t="n">
        <v>1</v>
      </c>
      <c r="I1135" s="6" t="n">
        <v>2.5</v>
      </c>
      <c r="J1135" s="6" t="s">
        <v>126</v>
      </c>
      <c r="K1135" s="7" t="b">
        <f aca="false">FALSE()</f>
        <v>0</v>
      </c>
    </row>
    <row r="1136" customFormat="false" ht="15" hidden="false" customHeight="false" outlineLevel="0" collapsed="false">
      <c r="A1136" s="6" t="n">
        <v>258336</v>
      </c>
      <c r="B1136" s="6" t="s">
        <v>1690</v>
      </c>
      <c r="C1136" s="6" t="s">
        <v>1686</v>
      </c>
      <c r="D1136" s="6" t="s">
        <v>1471</v>
      </c>
      <c r="E1136" s="6" t="s">
        <v>35</v>
      </c>
      <c r="F1136" s="6" t="n">
        <v>23.075554</v>
      </c>
      <c r="G1136" s="6" t="n">
        <v>72.56854</v>
      </c>
      <c r="H1136" s="6" t="n">
        <v>2</v>
      </c>
      <c r="I1136" s="6" t="n">
        <v>30</v>
      </c>
      <c r="J1136" s="6" t="s">
        <v>36</v>
      </c>
      <c r="K1136" s="7" t="b">
        <f aca="false">FALSE()</f>
        <v>0</v>
      </c>
    </row>
    <row r="1137" customFormat="false" ht="15" hidden="false" customHeight="false" outlineLevel="0" collapsed="false">
      <c r="A1137" s="6" t="n">
        <v>258302</v>
      </c>
      <c r="B1137" s="6" t="s">
        <v>1513</v>
      </c>
      <c r="C1137" s="6" t="s">
        <v>1470</v>
      </c>
      <c r="D1137" s="6" t="s">
        <v>1471</v>
      </c>
      <c r="E1137" s="6" t="s">
        <v>35</v>
      </c>
      <c r="F1137" s="6" t="n">
        <v>23.166428</v>
      </c>
      <c r="G1137" s="6" t="n">
        <v>72.683984</v>
      </c>
      <c r="H1137" s="6" t="n">
        <v>1</v>
      </c>
      <c r="I1137" s="6" t="n">
        <v>80</v>
      </c>
      <c r="J1137" s="6" t="s">
        <v>39</v>
      </c>
      <c r="K1137" s="7" t="b">
        <f aca="false">TRUE()</f>
        <v>1</v>
      </c>
    </row>
    <row r="1138" customFormat="false" ht="15" hidden="false" customHeight="false" outlineLevel="0" collapsed="false">
      <c r="A1138" s="6" t="n">
        <v>258294</v>
      </c>
      <c r="B1138" s="6" t="s">
        <v>1691</v>
      </c>
      <c r="C1138" s="6" t="s">
        <v>1470</v>
      </c>
      <c r="D1138" s="6" t="s">
        <v>1471</v>
      </c>
      <c r="E1138" s="6" t="s">
        <v>35</v>
      </c>
      <c r="F1138" s="6" t="n">
        <v>23.178343</v>
      </c>
      <c r="G1138" s="6" t="n">
        <v>72.612246</v>
      </c>
      <c r="H1138" s="6" t="n">
        <v>1</v>
      </c>
      <c r="I1138" s="6" t="n">
        <v>30</v>
      </c>
      <c r="J1138" s="6" t="s">
        <v>36</v>
      </c>
      <c r="K1138" s="7" t="b">
        <f aca="false">FALSE()</f>
        <v>0</v>
      </c>
    </row>
    <row r="1139" customFormat="false" ht="15" hidden="false" customHeight="false" outlineLevel="0" collapsed="false">
      <c r="A1139" s="6" t="n">
        <v>257048</v>
      </c>
      <c r="B1139" s="6" t="s">
        <v>1692</v>
      </c>
      <c r="C1139" s="6" t="s">
        <v>1470</v>
      </c>
      <c r="D1139" s="6" t="s">
        <v>1471</v>
      </c>
      <c r="E1139" s="6" t="s">
        <v>35</v>
      </c>
      <c r="F1139" s="6" t="n">
        <v>23.067546</v>
      </c>
      <c r="G1139" s="6" t="n">
        <v>72.664809</v>
      </c>
      <c r="H1139" s="6" t="n">
        <v>1</v>
      </c>
      <c r="I1139" s="6"/>
      <c r="J1139" s="6" t="s">
        <v>43</v>
      </c>
      <c r="K1139" s="7" t="b">
        <f aca="false">FALSE()</f>
        <v>0</v>
      </c>
    </row>
    <row r="1140" customFormat="false" ht="15" hidden="false" customHeight="false" outlineLevel="0" collapsed="false">
      <c r="A1140" s="6" t="n">
        <v>257047</v>
      </c>
      <c r="B1140" s="6" t="s">
        <v>1693</v>
      </c>
      <c r="C1140" s="6" t="s">
        <v>1686</v>
      </c>
      <c r="D1140" s="6" t="s">
        <v>1471</v>
      </c>
      <c r="E1140" s="6" t="s">
        <v>35</v>
      </c>
      <c r="F1140" s="6" t="n">
        <v>23.067646</v>
      </c>
      <c r="G1140" s="6" t="n">
        <v>72.664928</v>
      </c>
      <c r="H1140" s="6" t="n">
        <v>1</v>
      </c>
      <c r="I1140" s="6" t="n">
        <v>25</v>
      </c>
      <c r="J1140" s="6" t="s">
        <v>36</v>
      </c>
      <c r="K1140" s="7" t="b">
        <f aca="false">FALSE()</f>
        <v>0</v>
      </c>
    </row>
    <row r="1141" customFormat="false" ht="15" hidden="false" customHeight="false" outlineLevel="0" collapsed="false">
      <c r="A1141" s="6" t="n">
        <v>238134</v>
      </c>
      <c r="B1141" s="6" t="s">
        <v>1694</v>
      </c>
      <c r="C1141" s="6" t="s">
        <v>131</v>
      </c>
      <c r="D1141" s="6" t="s">
        <v>46</v>
      </c>
      <c r="E1141" s="6" t="s">
        <v>35</v>
      </c>
      <c r="F1141" s="6" t="n">
        <v>8.559479</v>
      </c>
      <c r="G1141" s="6" t="n">
        <v>76.878079</v>
      </c>
      <c r="H1141" s="6" t="n">
        <v>5</v>
      </c>
      <c r="I1141" s="6" t="n">
        <v>30</v>
      </c>
      <c r="J1141" s="6" t="s">
        <v>36</v>
      </c>
      <c r="K1141" s="7" t="b">
        <f aca="false">FALSE()</f>
        <v>0</v>
      </c>
    </row>
    <row r="1142" customFormat="false" ht="15" hidden="false" customHeight="false" outlineLevel="0" collapsed="false">
      <c r="A1142" s="6" t="n">
        <v>201254</v>
      </c>
      <c r="B1142" s="6" t="s">
        <v>1695</v>
      </c>
      <c r="C1142" s="6" t="s">
        <v>1696</v>
      </c>
      <c r="D1142" s="6" t="s">
        <v>72</v>
      </c>
      <c r="E1142" s="6" t="s">
        <v>35</v>
      </c>
      <c r="F1142" s="6" t="n">
        <v>19.243652</v>
      </c>
      <c r="G1142" s="6" t="n">
        <v>73.134756</v>
      </c>
      <c r="H1142" s="6" t="n">
        <v>1</v>
      </c>
      <c r="I1142" s="6" t="n">
        <v>3</v>
      </c>
      <c r="J1142" s="6" t="s">
        <v>126</v>
      </c>
      <c r="K1142" s="7" t="b">
        <f aca="false">FALSE()</f>
        <v>0</v>
      </c>
    </row>
    <row r="1143" customFormat="false" ht="15" hidden="false" customHeight="false" outlineLevel="0" collapsed="false">
      <c r="A1143" s="6" t="n">
        <v>195401</v>
      </c>
      <c r="B1143" s="6" t="s">
        <v>1697</v>
      </c>
      <c r="C1143" s="6" t="s">
        <v>1698</v>
      </c>
      <c r="D1143" s="6" t="s">
        <v>753</v>
      </c>
      <c r="E1143" s="6" t="s">
        <v>35</v>
      </c>
      <c r="F1143" s="6" t="n">
        <v>12.8738</v>
      </c>
      <c r="G1143" s="6" t="n">
        <v>80.078494</v>
      </c>
      <c r="H1143" s="6" t="n">
        <v>1</v>
      </c>
      <c r="I1143" s="6" t="n">
        <v>24</v>
      </c>
      <c r="J1143" s="6" t="s">
        <v>36</v>
      </c>
      <c r="K1143" s="7" t="b">
        <f aca="false">FALSE()</f>
        <v>0</v>
      </c>
    </row>
    <row r="1144" customFormat="false" ht="15" hidden="false" customHeight="false" outlineLevel="0" collapsed="false">
      <c r="A1144" s="6" t="n">
        <v>195400</v>
      </c>
      <c r="B1144" s="6" t="s">
        <v>1699</v>
      </c>
      <c r="C1144" s="6" t="s">
        <v>1700</v>
      </c>
      <c r="D1144" s="6" t="s">
        <v>753</v>
      </c>
      <c r="E1144" s="6" t="s">
        <v>35</v>
      </c>
      <c r="F1144" s="6" t="n">
        <v>13.008011</v>
      </c>
      <c r="G1144" s="6" t="n">
        <v>79.99673</v>
      </c>
      <c r="H1144" s="6" t="n">
        <v>1</v>
      </c>
      <c r="I1144" s="6" t="n">
        <v>50</v>
      </c>
      <c r="J1144" s="6" t="s">
        <v>39</v>
      </c>
      <c r="K1144" s="7" t="b">
        <f aca="false">TRUE()</f>
        <v>1</v>
      </c>
    </row>
    <row r="1145" customFormat="false" ht="15" hidden="false" customHeight="false" outlineLevel="0" collapsed="false">
      <c r="A1145" s="6" t="n">
        <v>195399</v>
      </c>
      <c r="B1145" s="6" t="s">
        <v>1701</v>
      </c>
      <c r="C1145" s="6" t="s">
        <v>760</v>
      </c>
      <c r="D1145" s="6" t="s">
        <v>753</v>
      </c>
      <c r="E1145" s="6" t="s">
        <v>35</v>
      </c>
      <c r="F1145" s="6" t="n">
        <v>12.980074</v>
      </c>
      <c r="G1145" s="6" t="n">
        <v>80.253153</v>
      </c>
      <c r="H1145" s="6" t="n">
        <v>1</v>
      </c>
      <c r="I1145" s="6" t="n">
        <v>25</v>
      </c>
      <c r="J1145" s="6" t="s">
        <v>36</v>
      </c>
      <c r="K1145" s="7" t="b">
        <f aca="false">FALSE()</f>
        <v>0</v>
      </c>
    </row>
    <row r="1146" customFormat="false" ht="15" hidden="false" customHeight="false" outlineLevel="0" collapsed="false">
      <c r="A1146" s="6" t="n">
        <v>195398</v>
      </c>
      <c r="B1146" s="6" t="s">
        <v>1702</v>
      </c>
      <c r="C1146" s="6" t="s">
        <v>760</v>
      </c>
      <c r="D1146" s="6" t="s">
        <v>753</v>
      </c>
      <c r="E1146" s="6" t="s">
        <v>35</v>
      </c>
      <c r="F1146" s="6" t="n">
        <v>13.039884</v>
      </c>
      <c r="G1146" s="6" t="n">
        <v>80.245076</v>
      </c>
      <c r="H1146" s="6" t="n">
        <v>1</v>
      </c>
      <c r="I1146" s="6" t="n">
        <v>22</v>
      </c>
      <c r="J1146" s="6" t="s">
        <v>36</v>
      </c>
      <c r="K1146" s="7" t="b">
        <f aca="false">FALSE()</f>
        <v>0</v>
      </c>
    </row>
    <row r="1147" customFormat="false" ht="15" hidden="false" customHeight="false" outlineLevel="0" collapsed="false">
      <c r="A1147" s="6" t="n">
        <v>195397</v>
      </c>
      <c r="B1147" s="6" t="s">
        <v>1703</v>
      </c>
      <c r="C1147" s="6" t="s">
        <v>760</v>
      </c>
      <c r="D1147" s="6" t="s">
        <v>753</v>
      </c>
      <c r="E1147" s="6" t="s">
        <v>35</v>
      </c>
      <c r="F1147" s="6" t="n">
        <v>13.086441</v>
      </c>
      <c r="G1147" s="6" t="n">
        <v>80.246118</v>
      </c>
      <c r="H1147" s="6" t="n">
        <v>1</v>
      </c>
      <c r="I1147" s="6" t="n">
        <v>25</v>
      </c>
      <c r="J1147" s="6" t="s">
        <v>36</v>
      </c>
      <c r="K1147" s="7" t="b">
        <f aca="false">FALSE()</f>
        <v>0</v>
      </c>
    </row>
    <row r="1148" customFormat="false" ht="15" hidden="false" customHeight="false" outlineLevel="0" collapsed="false">
      <c r="A1148" s="6" t="n">
        <v>195339</v>
      </c>
      <c r="B1148" s="6" t="s">
        <v>1704</v>
      </c>
      <c r="C1148" s="6" t="s">
        <v>739</v>
      </c>
      <c r="D1148" s="6" t="s">
        <v>739</v>
      </c>
      <c r="E1148" s="6" t="s">
        <v>35</v>
      </c>
      <c r="F1148" s="6" t="n">
        <v>28.656025</v>
      </c>
      <c r="G1148" s="6" t="n">
        <v>77.231198</v>
      </c>
      <c r="H1148" s="6" t="n">
        <v>1</v>
      </c>
      <c r="I1148" s="6" t="n">
        <v>3</v>
      </c>
      <c r="J1148" s="6" t="s">
        <v>126</v>
      </c>
      <c r="K1148" s="7" t="b">
        <f aca="false">FALSE()</f>
        <v>0</v>
      </c>
    </row>
    <row r="1149" customFormat="false" ht="15" hidden="false" customHeight="false" outlineLevel="0" collapsed="false">
      <c r="A1149" s="6" t="n">
        <v>189046</v>
      </c>
      <c r="B1149" s="6" t="s">
        <v>1705</v>
      </c>
      <c r="C1149" s="6" t="s">
        <v>1686</v>
      </c>
      <c r="D1149" s="6" t="s">
        <v>1471</v>
      </c>
      <c r="E1149" s="6" t="s">
        <v>35</v>
      </c>
      <c r="F1149" s="6" t="n">
        <v>23.018114</v>
      </c>
      <c r="G1149" s="6" t="n">
        <v>72.671177</v>
      </c>
      <c r="H1149" s="6" t="n">
        <v>1</v>
      </c>
      <c r="I1149" s="6"/>
      <c r="J1149" s="6" t="s">
        <v>43</v>
      </c>
      <c r="K1149" s="7" t="b">
        <f aca="false">FALSE()</f>
        <v>0</v>
      </c>
    </row>
    <row r="1150" customFormat="false" ht="15" hidden="false" customHeight="false" outlineLevel="0" collapsed="false">
      <c r="A1150" s="6" t="n">
        <v>189037</v>
      </c>
      <c r="B1150" s="6" t="s">
        <v>1706</v>
      </c>
      <c r="C1150" s="6" t="s">
        <v>1686</v>
      </c>
      <c r="D1150" s="6" t="s">
        <v>1471</v>
      </c>
      <c r="E1150" s="6" t="s">
        <v>35</v>
      </c>
      <c r="F1150" s="6" t="n">
        <v>22.958987</v>
      </c>
      <c r="G1150" s="6" t="n">
        <v>72.573438</v>
      </c>
      <c r="H1150" s="6" t="n">
        <v>1</v>
      </c>
      <c r="I1150" s="6" t="n">
        <v>50</v>
      </c>
      <c r="J1150" s="6" t="s">
        <v>39</v>
      </c>
      <c r="K1150" s="7" t="b">
        <f aca="false">TRUE()</f>
        <v>1</v>
      </c>
    </row>
    <row r="1151" customFormat="false" ht="15" hidden="false" customHeight="false" outlineLevel="0" collapsed="false">
      <c r="A1151" s="6" t="n">
        <v>188200</v>
      </c>
      <c r="B1151" s="6" t="s">
        <v>1707</v>
      </c>
      <c r="C1151" s="6" t="s">
        <v>1708</v>
      </c>
      <c r="D1151" s="6" t="s">
        <v>34</v>
      </c>
      <c r="E1151" s="6" t="s">
        <v>35</v>
      </c>
      <c r="F1151" s="6" t="n">
        <v>12.911522</v>
      </c>
      <c r="G1151" s="6" t="n">
        <v>77.676298</v>
      </c>
      <c r="H1151" s="6" t="n">
        <v>1</v>
      </c>
      <c r="I1151" s="6" t="n">
        <v>3.3</v>
      </c>
      <c r="J1151" s="6" t="s">
        <v>126</v>
      </c>
      <c r="K1151" s="7" t="b">
        <f aca="false">FALSE()</f>
        <v>0</v>
      </c>
    </row>
    <row r="1152" customFormat="false" ht="15" hidden="false" customHeight="false" outlineLevel="0" collapsed="false">
      <c r="A1152" s="6" t="n">
        <v>173082</v>
      </c>
      <c r="B1152" s="6" t="s">
        <v>1709</v>
      </c>
      <c r="C1152" s="6" t="s">
        <v>1067</v>
      </c>
      <c r="D1152" s="6" t="s">
        <v>34</v>
      </c>
      <c r="E1152" s="6" t="s">
        <v>35</v>
      </c>
      <c r="F1152" s="6" t="n">
        <v>12.952439</v>
      </c>
      <c r="G1152" s="6" t="n">
        <v>77.639732</v>
      </c>
      <c r="H1152" s="6" t="n">
        <v>2</v>
      </c>
      <c r="I1152" s="6" t="n">
        <v>22</v>
      </c>
      <c r="J1152" s="6" t="s">
        <v>36</v>
      </c>
      <c r="K1152" s="7" t="b">
        <f aca="false">FALSE()</f>
        <v>0</v>
      </c>
    </row>
    <row r="1153" customFormat="false" ht="15" hidden="false" customHeight="false" outlineLevel="0" collapsed="false">
      <c r="A1153" s="6" t="n">
        <v>172465</v>
      </c>
      <c r="B1153" s="6" t="s">
        <v>1710</v>
      </c>
      <c r="C1153" s="6" t="s">
        <v>1711</v>
      </c>
      <c r="D1153" s="6" t="s">
        <v>1484</v>
      </c>
      <c r="E1153" s="6" t="s">
        <v>35</v>
      </c>
      <c r="F1153" s="6" t="n">
        <v>27.938346</v>
      </c>
      <c r="G1153" s="6" t="n">
        <v>75.231438</v>
      </c>
      <c r="H1153" s="6" t="n">
        <v>1</v>
      </c>
      <c r="I1153" s="6" t="n">
        <v>3</v>
      </c>
      <c r="J1153" s="6" t="s">
        <v>126</v>
      </c>
      <c r="K1153" s="7" t="b">
        <f aca="false">FALSE()</f>
        <v>0</v>
      </c>
    </row>
    <row r="1154" customFormat="false" ht="15" hidden="false" customHeight="false" outlineLevel="0" collapsed="false">
      <c r="A1154" s="6" t="n">
        <v>171101</v>
      </c>
      <c r="B1154" s="6" t="s">
        <v>1712</v>
      </c>
      <c r="C1154" s="6" t="s">
        <v>1713</v>
      </c>
      <c r="D1154" s="6" t="s">
        <v>753</v>
      </c>
      <c r="E1154" s="6" t="s">
        <v>35</v>
      </c>
      <c r="F1154" s="6" t="n">
        <v>11.519422</v>
      </c>
      <c r="G1154" s="6" t="n">
        <v>77.934771</v>
      </c>
      <c r="H1154" s="6" t="n">
        <v>2</v>
      </c>
      <c r="I1154" s="6" t="n">
        <v>50</v>
      </c>
      <c r="J1154" s="6" t="s">
        <v>39</v>
      </c>
      <c r="K1154" s="7" t="b">
        <f aca="false">TRUE()</f>
        <v>1</v>
      </c>
    </row>
    <row r="1155" customFormat="false" ht="15" hidden="false" customHeight="false" outlineLevel="0" collapsed="false">
      <c r="A1155" s="6" t="n">
        <v>170932</v>
      </c>
      <c r="B1155" s="6" t="s">
        <v>1714</v>
      </c>
      <c r="C1155" s="6" t="s">
        <v>1715</v>
      </c>
      <c r="D1155" s="6" t="s">
        <v>753</v>
      </c>
      <c r="E1155" s="6" t="s">
        <v>35</v>
      </c>
      <c r="F1155" s="6" t="n">
        <v>12.9908</v>
      </c>
      <c r="G1155" s="6" t="n">
        <v>80.2424</v>
      </c>
      <c r="H1155" s="6" t="n">
        <v>1</v>
      </c>
      <c r="I1155" s="6" t="n">
        <v>37</v>
      </c>
      <c r="J1155" s="6" t="s">
        <v>36</v>
      </c>
      <c r="K1155" s="7" t="b">
        <f aca="false">FALSE()</f>
        <v>0</v>
      </c>
    </row>
    <row r="1156" customFormat="false" ht="15" hidden="false" customHeight="false" outlineLevel="0" collapsed="false">
      <c r="A1156" s="6" t="n">
        <v>167208</v>
      </c>
      <c r="B1156" s="6" t="s">
        <v>1716</v>
      </c>
      <c r="C1156" s="6" t="s">
        <v>1717</v>
      </c>
      <c r="D1156" s="6" t="s">
        <v>1718</v>
      </c>
      <c r="E1156" s="6" t="s">
        <v>35</v>
      </c>
      <c r="F1156" s="6" t="n">
        <v>26.161971</v>
      </c>
      <c r="G1156" s="6" t="n">
        <v>91.766784</v>
      </c>
      <c r="H1156" s="6" t="n">
        <v>1</v>
      </c>
      <c r="I1156" s="6" t="n">
        <v>3</v>
      </c>
      <c r="J1156" s="6" t="s">
        <v>126</v>
      </c>
      <c r="K1156" s="7" t="b">
        <f aca="false">FALSE()</f>
        <v>0</v>
      </c>
    </row>
    <row r="1157" customFormat="false" ht="15" hidden="false" customHeight="false" outlineLevel="0" collapsed="false">
      <c r="A1157" s="6" t="n">
        <v>149812</v>
      </c>
      <c r="B1157" s="6" t="s">
        <v>1719</v>
      </c>
      <c r="C1157" s="6" t="s">
        <v>1720</v>
      </c>
      <c r="D1157" s="6" t="s">
        <v>1721</v>
      </c>
      <c r="E1157" s="6" t="s">
        <v>35</v>
      </c>
      <c r="F1157" s="6" t="n">
        <v>26.156965</v>
      </c>
      <c r="G1157" s="6" t="n">
        <v>85.899512</v>
      </c>
      <c r="H1157" s="6" t="n">
        <v>4</v>
      </c>
      <c r="I1157" s="6" t="n">
        <v>2.3</v>
      </c>
      <c r="J1157" s="6" t="s">
        <v>126</v>
      </c>
      <c r="K1157" s="7" t="b">
        <f aca="false">FALSE()</f>
        <v>0</v>
      </c>
    </row>
    <row r="1158" customFormat="false" ht="15" hidden="false" customHeight="false" outlineLevel="0" collapsed="false">
      <c r="A1158" s="6" t="n">
        <v>149534</v>
      </c>
      <c r="B1158" s="6" t="s">
        <v>1722</v>
      </c>
      <c r="C1158" s="6" t="s">
        <v>999</v>
      </c>
      <c r="D1158" s="6" t="s">
        <v>726</v>
      </c>
      <c r="E1158" s="6" t="s">
        <v>35</v>
      </c>
      <c r="F1158" s="6" t="n">
        <v>17.44366</v>
      </c>
      <c r="G1158" s="6" t="n">
        <v>78.46395</v>
      </c>
      <c r="H1158" s="6" t="n">
        <v>1</v>
      </c>
      <c r="I1158" s="6"/>
      <c r="J1158" s="6" t="s">
        <v>43</v>
      </c>
      <c r="K1158" s="7" t="b">
        <f aca="false">FALSE()</f>
        <v>0</v>
      </c>
    </row>
    <row r="1159" customFormat="false" ht="15" hidden="false" customHeight="false" outlineLevel="0" collapsed="false">
      <c r="A1159" s="6" t="n">
        <v>149533</v>
      </c>
      <c r="B1159" s="6" t="s">
        <v>1723</v>
      </c>
      <c r="C1159" s="6" t="s">
        <v>999</v>
      </c>
      <c r="D1159" s="6" t="s">
        <v>726</v>
      </c>
      <c r="E1159" s="6" t="s">
        <v>35</v>
      </c>
      <c r="F1159" s="6" t="n">
        <v>17.424924</v>
      </c>
      <c r="G1159" s="6" t="n">
        <v>78.421966</v>
      </c>
      <c r="H1159" s="6" t="n">
        <v>1</v>
      </c>
      <c r="I1159" s="6"/>
      <c r="J1159" s="6" t="s">
        <v>43</v>
      </c>
      <c r="K1159" s="7" t="b">
        <f aca="false">FALSE()</f>
        <v>0</v>
      </c>
    </row>
    <row r="1160" customFormat="false" ht="15" hidden="false" customHeight="false" outlineLevel="0" collapsed="false">
      <c r="A1160" s="6" t="n">
        <v>149527</v>
      </c>
      <c r="B1160" s="6" t="s">
        <v>1722</v>
      </c>
      <c r="C1160" s="6" t="s">
        <v>999</v>
      </c>
      <c r="D1160" s="6" t="s">
        <v>726</v>
      </c>
      <c r="E1160" s="6" t="s">
        <v>35</v>
      </c>
      <c r="F1160" s="6" t="n">
        <v>17.36334</v>
      </c>
      <c r="G1160" s="6" t="n">
        <v>78.4337</v>
      </c>
      <c r="H1160" s="6" t="n">
        <v>1</v>
      </c>
      <c r="I1160" s="6"/>
      <c r="J1160" s="6" t="s">
        <v>43</v>
      </c>
      <c r="K1160" s="7" t="b">
        <f aca="false">FALSE()</f>
        <v>0</v>
      </c>
    </row>
    <row r="1161" customFormat="false" ht="15" hidden="false" customHeight="false" outlineLevel="0" collapsed="false">
      <c r="A1161" s="6" t="n">
        <v>149524</v>
      </c>
      <c r="B1161" s="6" t="s">
        <v>1722</v>
      </c>
      <c r="C1161" s="6" t="s">
        <v>999</v>
      </c>
      <c r="D1161" s="6" t="s">
        <v>726</v>
      </c>
      <c r="E1161" s="6" t="s">
        <v>35</v>
      </c>
      <c r="F1161" s="6" t="n">
        <v>17.50128</v>
      </c>
      <c r="G1161" s="6" t="n">
        <v>78.37811</v>
      </c>
      <c r="H1161" s="6" t="n">
        <v>1</v>
      </c>
      <c r="I1161" s="6"/>
      <c r="J1161" s="6" t="s">
        <v>43</v>
      </c>
      <c r="K1161" s="7" t="b">
        <f aca="false">FALSE()</f>
        <v>0</v>
      </c>
    </row>
    <row r="1162" customFormat="false" ht="15" hidden="false" customHeight="false" outlineLevel="0" collapsed="false">
      <c r="A1162" s="6" t="n">
        <v>146678</v>
      </c>
      <c r="B1162" s="6" t="s">
        <v>1724</v>
      </c>
      <c r="C1162" s="6" t="s">
        <v>1725</v>
      </c>
      <c r="D1162" s="6" t="s">
        <v>742</v>
      </c>
      <c r="E1162" s="6" t="s">
        <v>35</v>
      </c>
      <c r="F1162" s="6" t="n">
        <v>22.716554</v>
      </c>
      <c r="G1162" s="6" t="n">
        <v>75.854964</v>
      </c>
      <c r="H1162" s="6" t="n">
        <v>1</v>
      </c>
      <c r="I1162" s="6" t="n">
        <v>3</v>
      </c>
      <c r="J1162" s="6" t="s">
        <v>126</v>
      </c>
      <c r="K1162" s="7" t="b">
        <f aca="false">FALSE()</f>
        <v>0</v>
      </c>
    </row>
    <row r="1163" customFormat="false" ht="15" hidden="false" customHeight="false" outlineLevel="0" collapsed="false">
      <c r="A1163" s="6" t="n">
        <v>129323</v>
      </c>
      <c r="B1163" s="6" t="s">
        <v>1726</v>
      </c>
      <c r="C1163" s="6" t="s">
        <v>1727</v>
      </c>
      <c r="D1163" s="6" t="s">
        <v>46</v>
      </c>
      <c r="E1163" s="6" t="s">
        <v>35</v>
      </c>
      <c r="F1163" s="6" t="n">
        <v>9.088188</v>
      </c>
      <c r="G1163" s="6" t="n">
        <v>76.485888</v>
      </c>
      <c r="H1163" s="6" t="n">
        <v>3</v>
      </c>
      <c r="I1163" s="6" t="n">
        <v>3.3</v>
      </c>
      <c r="J1163" s="6" t="s">
        <v>126</v>
      </c>
      <c r="K1163" s="7" t="b">
        <f aca="false">FALSE()</f>
        <v>0</v>
      </c>
    </row>
    <row r="1164" customFormat="false" ht="15" hidden="false" customHeight="false" outlineLevel="0" collapsed="false">
      <c r="A1164" s="6" t="n">
        <v>107668</v>
      </c>
      <c r="B1164" s="6" t="s">
        <v>1728</v>
      </c>
      <c r="C1164" s="6" t="s">
        <v>1067</v>
      </c>
      <c r="D1164" s="6" t="s">
        <v>34</v>
      </c>
      <c r="E1164" s="6" t="s">
        <v>35</v>
      </c>
      <c r="F1164" s="6" t="n">
        <v>12.922464</v>
      </c>
      <c r="G1164" s="6" t="n">
        <v>77.584688</v>
      </c>
      <c r="H1164" s="6" t="n">
        <v>1</v>
      </c>
      <c r="I1164" s="6" t="n">
        <v>2</v>
      </c>
      <c r="J1164" s="6" t="s">
        <v>126</v>
      </c>
      <c r="K1164" s="7" t="b">
        <f aca="false">FALSE()</f>
        <v>0</v>
      </c>
    </row>
    <row r="1165" customFormat="false" ht="15" hidden="false" customHeight="false" outlineLevel="0" collapsed="false">
      <c r="A1165" s="6" t="n">
        <v>103746</v>
      </c>
      <c r="B1165" s="6" t="s">
        <v>1729</v>
      </c>
      <c r="C1165" s="6" t="s">
        <v>951</v>
      </c>
      <c r="D1165" s="6" t="s">
        <v>34</v>
      </c>
      <c r="E1165" s="6" t="s">
        <v>35</v>
      </c>
      <c r="F1165" s="6" t="n">
        <v>12.975531</v>
      </c>
      <c r="G1165" s="6" t="n">
        <v>77.588336</v>
      </c>
      <c r="H1165" s="6" t="n">
        <v>1</v>
      </c>
      <c r="I1165" s="6" t="n">
        <v>3.6</v>
      </c>
      <c r="J1165" s="6" t="s">
        <v>126</v>
      </c>
      <c r="K1165" s="7" t="b">
        <f aca="false">FALSE()</f>
        <v>0</v>
      </c>
    </row>
    <row r="1166" customFormat="false" ht="15" hidden="false" customHeight="false" outlineLevel="0" collapsed="false">
      <c r="A1166" s="6" t="n">
        <v>103616</v>
      </c>
      <c r="B1166" s="6" t="s">
        <v>1730</v>
      </c>
      <c r="C1166" s="6" t="s">
        <v>951</v>
      </c>
      <c r="D1166" s="6" t="s">
        <v>34</v>
      </c>
      <c r="E1166" s="6" t="s">
        <v>35</v>
      </c>
      <c r="F1166" s="6" t="n">
        <v>12.975689</v>
      </c>
      <c r="G1166" s="6" t="n">
        <v>77.64123</v>
      </c>
      <c r="H1166" s="6" t="n">
        <v>4</v>
      </c>
      <c r="I1166" s="6" t="n">
        <v>3</v>
      </c>
      <c r="J1166" s="6" t="s">
        <v>126</v>
      </c>
      <c r="K1166" s="7" t="b">
        <f aca="false">FALSE()</f>
        <v>0</v>
      </c>
    </row>
    <row r="1167" customFormat="false" ht="15" hidden="false" customHeight="false" outlineLevel="0" collapsed="false">
      <c r="A1167" s="6" t="n">
        <v>103615</v>
      </c>
      <c r="B1167" s="6" t="s">
        <v>1731</v>
      </c>
      <c r="C1167" s="6" t="s">
        <v>951</v>
      </c>
      <c r="D1167" s="6" t="s">
        <v>34</v>
      </c>
      <c r="E1167" s="6" t="s">
        <v>35</v>
      </c>
      <c r="F1167" s="6" t="n">
        <v>12.967925</v>
      </c>
      <c r="G1167" s="6" t="n">
        <v>77.749776</v>
      </c>
      <c r="H1167" s="6" t="n">
        <v>1</v>
      </c>
      <c r="I1167" s="6" t="n">
        <v>3</v>
      </c>
      <c r="J1167" s="6" t="s">
        <v>126</v>
      </c>
      <c r="K1167" s="7" t="b">
        <f aca="false">FALSE()</f>
        <v>0</v>
      </c>
    </row>
    <row r="1168" customFormat="false" ht="15" hidden="false" customHeight="false" outlineLevel="0" collapsed="false">
      <c r="A1168" s="6" t="n">
        <v>103614</v>
      </c>
      <c r="B1168" s="6" t="s">
        <v>1732</v>
      </c>
      <c r="C1168" s="6" t="s">
        <v>951</v>
      </c>
      <c r="D1168" s="6" t="s">
        <v>34</v>
      </c>
      <c r="E1168" s="6" t="s">
        <v>35</v>
      </c>
      <c r="F1168" s="6" t="n">
        <v>12.975683</v>
      </c>
      <c r="G1168" s="6" t="n">
        <v>77.598233</v>
      </c>
      <c r="H1168" s="6" t="n">
        <v>1</v>
      </c>
      <c r="I1168" s="6" t="n">
        <v>3</v>
      </c>
      <c r="J1168" s="6" t="s">
        <v>126</v>
      </c>
      <c r="K1168" s="7" t="b">
        <f aca="false">FALSE()</f>
        <v>0</v>
      </c>
    </row>
    <row r="1169" customFormat="false" ht="15" hidden="false" customHeight="false" outlineLevel="0" collapsed="false">
      <c r="A1169" s="6" t="n">
        <v>103613</v>
      </c>
      <c r="B1169" s="6" t="s">
        <v>1733</v>
      </c>
      <c r="C1169" s="6" t="s">
        <v>951</v>
      </c>
      <c r="D1169" s="6" t="s">
        <v>34</v>
      </c>
      <c r="E1169" s="6" t="s">
        <v>35</v>
      </c>
      <c r="F1169" s="6" t="n">
        <v>13.001817</v>
      </c>
      <c r="G1169" s="6" t="n">
        <v>77.623546</v>
      </c>
      <c r="H1169" s="6" t="n">
        <v>1</v>
      </c>
      <c r="I1169" s="6" t="n">
        <v>3</v>
      </c>
      <c r="J1169" s="6" t="s">
        <v>126</v>
      </c>
      <c r="K1169" s="7" t="b">
        <f aca="false">FALSE()</f>
        <v>0</v>
      </c>
    </row>
    <row r="1170" customFormat="false" ht="15" hidden="false" customHeight="false" outlineLevel="0" collapsed="false">
      <c r="A1170" s="6" t="n">
        <v>103612</v>
      </c>
      <c r="B1170" s="6" t="s">
        <v>1734</v>
      </c>
      <c r="C1170" s="6" t="s">
        <v>951</v>
      </c>
      <c r="D1170" s="6" t="s">
        <v>34</v>
      </c>
      <c r="E1170" s="6" t="s">
        <v>35</v>
      </c>
      <c r="F1170" s="6" t="n">
        <v>13.021246</v>
      </c>
      <c r="G1170" s="6" t="n">
        <v>77.598028</v>
      </c>
      <c r="H1170" s="6" t="n">
        <v>1</v>
      </c>
      <c r="I1170" s="6" t="n">
        <v>3</v>
      </c>
      <c r="J1170" s="6" t="s">
        <v>126</v>
      </c>
      <c r="K1170" s="7" t="b">
        <f aca="false">FALSE()</f>
        <v>0</v>
      </c>
    </row>
    <row r="1171" customFormat="false" ht="15" hidden="false" customHeight="false" outlineLevel="0" collapsed="false">
      <c r="A1171" s="6" t="n">
        <v>103611</v>
      </c>
      <c r="B1171" s="6" t="s">
        <v>1735</v>
      </c>
      <c r="C1171" s="6" t="s">
        <v>951</v>
      </c>
      <c r="D1171" s="6" t="s">
        <v>34</v>
      </c>
      <c r="E1171" s="6" t="s">
        <v>35</v>
      </c>
      <c r="F1171" s="6" t="n">
        <v>13.032302</v>
      </c>
      <c r="G1171" s="6" t="n">
        <v>77.569713</v>
      </c>
      <c r="H1171" s="6" t="n">
        <v>1</v>
      </c>
      <c r="I1171" s="6" t="n">
        <v>3</v>
      </c>
      <c r="J1171" s="6" t="s">
        <v>126</v>
      </c>
      <c r="K1171" s="7" t="b">
        <f aca="false">FALSE()</f>
        <v>0</v>
      </c>
    </row>
    <row r="1172" customFormat="false" ht="15" hidden="false" customHeight="false" outlineLevel="0" collapsed="false">
      <c r="A1172" s="6" t="n">
        <v>103610</v>
      </c>
      <c r="B1172" s="6" t="s">
        <v>1736</v>
      </c>
      <c r="C1172" s="6" t="s">
        <v>951</v>
      </c>
      <c r="D1172" s="6" t="s">
        <v>34</v>
      </c>
      <c r="E1172" s="6" t="s">
        <v>35</v>
      </c>
      <c r="F1172" s="6" t="n">
        <v>12.922287</v>
      </c>
      <c r="G1172" s="6" t="n">
        <v>77.49549</v>
      </c>
      <c r="H1172" s="6" t="n">
        <v>1</v>
      </c>
      <c r="I1172" s="6" t="n">
        <v>3</v>
      </c>
      <c r="J1172" s="6" t="s">
        <v>126</v>
      </c>
      <c r="K1172" s="7" t="b">
        <f aca="false">FALSE()</f>
        <v>0</v>
      </c>
    </row>
    <row r="1173" customFormat="false" ht="15" hidden="false" customHeight="false" outlineLevel="0" collapsed="false">
      <c r="A1173" s="6" t="n">
        <v>103609</v>
      </c>
      <c r="B1173" s="6" t="s">
        <v>1737</v>
      </c>
      <c r="C1173" s="6" t="s">
        <v>951</v>
      </c>
      <c r="D1173" s="6" t="s">
        <v>34</v>
      </c>
      <c r="E1173" s="6" t="s">
        <v>35</v>
      </c>
      <c r="F1173" s="6" t="n">
        <v>12.923334</v>
      </c>
      <c r="G1173" s="6" t="n">
        <v>77.554875</v>
      </c>
      <c r="H1173" s="6" t="n">
        <v>1</v>
      </c>
      <c r="I1173" s="6" t="n">
        <v>3</v>
      </c>
      <c r="J1173" s="6" t="s">
        <v>126</v>
      </c>
      <c r="K1173" s="7" t="b">
        <f aca="false">FALSE()</f>
        <v>0</v>
      </c>
    </row>
    <row r="1174" customFormat="false" ht="15" hidden="false" customHeight="false" outlineLevel="0" collapsed="false">
      <c r="A1174" s="6" t="n">
        <v>103607</v>
      </c>
      <c r="B1174" s="6" t="s">
        <v>1738</v>
      </c>
      <c r="C1174" s="6" t="s">
        <v>951</v>
      </c>
      <c r="D1174" s="6" t="s">
        <v>34</v>
      </c>
      <c r="E1174" s="6" t="s">
        <v>35</v>
      </c>
      <c r="F1174" s="6" t="n">
        <v>12.933942</v>
      </c>
      <c r="G1174" s="6" t="n">
        <v>77.517452</v>
      </c>
      <c r="H1174" s="6" t="n">
        <v>1</v>
      </c>
      <c r="I1174" s="6" t="n">
        <v>3</v>
      </c>
      <c r="J1174" s="6" t="s">
        <v>126</v>
      </c>
      <c r="K1174" s="7" t="b">
        <f aca="false">FALSE()</f>
        <v>0</v>
      </c>
    </row>
    <row r="1175" customFormat="false" ht="15" hidden="false" customHeight="false" outlineLevel="0" collapsed="false">
      <c r="A1175" s="6" t="n">
        <v>103606</v>
      </c>
      <c r="B1175" s="6" t="s">
        <v>1739</v>
      </c>
      <c r="C1175" s="6" t="s">
        <v>1067</v>
      </c>
      <c r="D1175" s="6" t="s">
        <v>34</v>
      </c>
      <c r="E1175" s="6" t="s">
        <v>35</v>
      </c>
      <c r="F1175" s="6" t="n">
        <v>12.987554</v>
      </c>
      <c r="G1175" s="6" t="n">
        <v>77.620871</v>
      </c>
      <c r="H1175" s="6" t="n">
        <v>1</v>
      </c>
      <c r="I1175" s="6" t="n">
        <v>3</v>
      </c>
      <c r="J1175" s="6" t="s">
        <v>126</v>
      </c>
      <c r="K1175" s="7" t="b">
        <f aca="false">FALSE()</f>
        <v>0</v>
      </c>
    </row>
    <row r="1176" customFormat="false" ht="15" hidden="false" customHeight="false" outlineLevel="0" collapsed="false">
      <c r="A1176" s="6" t="n">
        <v>103604</v>
      </c>
      <c r="B1176" s="6" t="s">
        <v>1740</v>
      </c>
      <c r="C1176" s="6" t="s">
        <v>1067</v>
      </c>
      <c r="D1176" s="6" t="s">
        <v>34</v>
      </c>
      <c r="E1176" s="6" t="s">
        <v>35</v>
      </c>
      <c r="F1176" s="6" t="n">
        <v>12.985421</v>
      </c>
      <c r="G1176" s="6" t="n">
        <v>77.738513</v>
      </c>
      <c r="H1176" s="6" t="n">
        <v>2</v>
      </c>
      <c r="I1176" s="6" t="n">
        <v>3</v>
      </c>
      <c r="J1176" s="6" t="s">
        <v>126</v>
      </c>
      <c r="K1176" s="7" t="b">
        <f aca="false">FALSE()</f>
        <v>0</v>
      </c>
    </row>
    <row r="1177" customFormat="false" ht="15" hidden="false" customHeight="false" outlineLevel="0" collapsed="false">
      <c r="A1177" s="6" t="n">
        <v>103603</v>
      </c>
      <c r="B1177" s="6" t="s">
        <v>1741</v>
      </c>
      <c r="C1177" s="6" t="s">
        <v>1067</v>
      </c>
      <c r="D1177" s="6" t="s">
        <v>34</v>
      </c>
      <c r="E1177" s="6" t="s">
        <v>35</v>
      </c>
      <c r="F1177" s="6" t="n">
        <v>12.987219</v>
      </c>
      <c r="G1177" s="6" t="n">
        <v>77.736474</v>
      </c>
      <c r="H1177" s="6" t="n">
        <v>2</v>
      </c>
      <c r="I1177" s="6" t="n">
        <v>3</v>
      </c>
      <c r="J1177" s="6" t="s">
        <v>126</v>
      </c>
      <c r="K1177" s="7" t="b">
        <f aca="false">FALSE()</f>
        <v>0</v>
      </c>
    </row>
    <row r="1178" customFormat="false" ht="15" hidden="false" customHeight="false" outlineLevel="0" collapsed="false">
      <c r="A1178" s="6" t="n">
        <v>96047</v>
      </c>
      <c r="B1178" s="6" t="s">
        <v>1742</v>
      </c>
      <c r="C1178" s="6" t="s">
        <v>999</v>
      </c>
      <c r="D1178" s="6" t="s">
        <v>726</v>
      </c>
      <c r="E1178" s="6" t="s">
        <v>35</v>
      </c>
      <c r="F1178" s="6" t="n">
        <v>17.413362</v>
      </c>
      <c r="G1178" s="6" t="n">
        <v>78.426597</v>
      </c>
      <c r="H1178" s="6" t="n">
        <v>2</v>
      </c>
      <c r="I1178" s="6" t="n">
        <v>7.2</v>
      </c>
      <c r="J1178" s="6" t="s">
        <v>126</v>
      </c>
      <c r="K1178" s="7" t="b">
        <f aca="false">FALSE()</f>
        <v>0</v>
      </c>
    </row>
    <row r="1179" customFormat="false" ht="15" hidden="false" customHeight="false" outlineLevel="0" collapsed="false">
      <c r="A1179" s="6" t="n">
        <v>92771</v>
      </c>
      <c r="B1179" s="6" t="s">
        <v>1743</v>
      </c>
      <c r="C1179" s="6" t="s">
        <v>1744</v>
      </c>
      <c r="D1179" s="6" t="s">
        <v>72</v>
      </c>
      <c r="E1179" s="6" t="s">
        <v>35</v>
      </c>
      <c r="F1179" s="6" t="n">
        <v>21.088568</v>
      </c>
      <c r="G1179" s="6" t="n">
        <v>79.05439</v>
      </c>
      <c r="H1179" s="6" t="n">
        <v>4</v>
      </c>
      <c r="I1179" s="6"/>
      <c r="J1179" s="6" t="s">
        <v>43</v>
      </c>
      <c r="K1179" s="7" t="b">
        <f aca="false">FALSE()</f>
        <v>0</v>
      </c>
    </row>
    <row r="1181" customFormat="false" ht="15" hidden="false" customHeight="false" outlineLevel="0" collapsed="false">
      <c r="A1181" s="8" t="s">
        <v>1745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0"/>
    <col collapsed="false" customWidth="true" hidden="false" outlineLevel="0" max="3" min="3" style="0" width="16"/>
    <col collapsed="false" customWidth="true" hidden="false" outlineLevel="0" max="4" min="4" style="0" width="22"/>
    <col collapsed="false" customWidth="true" hidden="false" outlineLevel="0" max="5" min="5" style="0" width="14"/>
    <col collapsed="false" customWidth="true" hidden="false" outlineLevel="0" max="6" min="6" style="0" width="16"/>
  </cols>
  <sheetData>
    <row r="1" customFormat="false" ht="26.85" hidden="false" customHeight="false" outlineLevel="0" collapsed="false">
      <c r="A1" s="5" t="s">
        <v>1746</v>
      </c>
      <c r="B1" s="5" t="s">
        <v>1747</v>
      </c>
      <c r="C1" s="5" t="s">
        <v>1748</v>
      </c>
      <c r="D1" s="5" t="s">
        <v>1749</v>
      </c>
      <c r="E1" s="5" t="s">
        <v>1750</v>
      </c>
      <c r="F1" s="5" t="s">
        <v>1751</v>
      </c>
    </row>
    <row r="2" customFormat="false" ht="15" hidden="false" customHeight="false" outlineLevel="0" collapsed="false">
      <c r="A2" s="6" t="s">
        <v>46</v>
      </c>
      <c r="B2" s="9" t="n">
        <f aca="false">COUNTIFS(OCM_Raw_Data!$D$2:$D$1181,A2)</f>
        <v>454</v>
      </c>
      <c r="C2" s="6" t="n">
        <f aca="false">SUMIFS(OCM_Raw_Data!$H$2:$H$1181,OCM_Raw_Data!$D$2:$D$1181,A2)</f>
        <v>1001</v>
      </c>
      <c r="D2" s="10" t="n">
        <f aca="false">IFERROR(AVERAGEIFS(OCM_Raw_Data!$I$2:$I$1181,OCM_Raw_Data!$D$2:$D$1181,A2),0)</f>
        <v>38.3541850220264</v>
      </c>
      <c r="E2" s="6" t="n">
        <f aca="false">COUNTIFS(OCM_Raw_Data!$D$2:$D$1181,A2,OCM_Raw_Data!$K$2:$K$1181,TRUE())</f>
        <v>136</v>
      </c>
      <c r="F2" s="11" t="n">
        <f aca="false">E2/B2</f>
        <v>0.299559471365639</v>
      </c>
    </row>
    <row r="3" customFormat="false" ht="15" hidden="false" customHeight="false" outlineLevel="0" collapsed="false">
      <c r="A3" s="6" t="s">
        <v>34</v>
      </c>
      <c r="B3" s="9" t="n">
        <f aca="false">COUNTIFS(OCM_Raw_Data!$D$2:$D$1181,A3)</f>
        <v>362</v>
      </c>
      <c r="C3" s="6" t="n">
        <f aca="false">SUMIFS(OCM_Raw_Data!$H$2:$H$1181,OCM_Raw_Data!$D$2:$D$1181,A3)</f>
        <v>524</v>
      </c>
      <c r="D3" s="10" t="n">
        <f aca="false">IFERROR(AVERAGEIFS(OCM_Raw_Data!$I$2:$I$1181,OCM_Raw_Data!$D$2:$D$1181,A3),0)</f>
        <v>52.5770718232044</v>
      </c>
      <c r="E3" s="6" t="n">
        <f aca="false">COUNTIFS(OCM_Raw_Data!$D$2:$D$1181,A3,OCM_Raw_Data!$K$2:$K$1181,TRUE())</f>
        <v>196</v>
      </c>
      <c r="F3" s="11" t="n">
        <f aca="false">E3/B3</f>
        <v>0.541436464088398</v>
      </c>
    </row>
    <row r="4" customFormat="false" ht="15" hidden="false" customHeight="false" outlineLevel="0" collapsed="false">
      <c r="A4" s="6" t="s">
        <v>753</v>
      </c>
      <c r="B4" s="9" t="n">
        <f aca="false">COUNTIFS(OCM_Raw_Data!$D$2:$D$1181,A4)</f>
        <v>182</v>
      </c>
      <c r="C4" s="6" t="n">
        <f aca="false">SUMIFS(OCM_Raw_Data!$H$2:$H$1181,OCM_Raw_Data!$D$2:$D$1181,A4)</f>
        <v>208</v>
      </c>
      <c r="D4" s="10" t="n">
        <f aca="false">IFERROR(AVERAGEIFS(OCM_Raw_Data!$I$2:$I$1181,OCM_Raw_Data!$D$2:$D$1181,A4),0)</f>
        <v>41.5722222222222</v>
      </c>
      <c r="E4" s="6" t="n">
        <f aca="false">COUNTIFS(OCM_Raw_Data!$D$2:$D$1181,A4,OCM_Raw_Data!$K$2:$K$1181,TRUE())</f>
        <v>59</v>
      </c>
      <c r="F4" s="11" t="n">
        <f aca="false">E4/B4</f>
        <v>0.324175824175824</v>
      </c>
    </row>
    <row r="5" customFormat="false" ht="15" hidden="false" customHeight="false" outlineLevel="0" collapsed="false">
      <c r="A5" s="6" t="s">
        <v>1484</v>
      </c>
      <c r="B5" s="9" t="n">
        <f aca="false">COUNTIFS(OCM_Raw_Data!$D$2:$D$1181,A5)</f>
        <v>34</v>
      </c>
      <c r="C5" s="6" t="n">
        <f aca="false">SUMIFS(OCM_Raw_Data!$H$2:$H$1181,OCM_Raw_Data!$D$2:$D$1181,A5)</f>
        <v>65</v>
      </c>
      <c r="D5" s="10" t="n">
        <f aca="false">IFERROR(AVERAGEIFS(OCM_Raw_Data!$I$2:$I$1181,OCM_Raw_Data!$D$2:$D$1181,A5),0)</f>
        <v>30.5294117647059</v>
      </c>
      <c r="E5" s="6" t="n">
        <f aca="false">COUNTIFS(OCM_Raw_Data!$D$2:$D$1181,A5,OCM_Raw_Data!$K$2:$K$1181,TRUE())</f>
        <v>2</v>
      </c>
      <c r="F5" s="11" t="n">
        <f aca="false">E5/B5</f>
        <v>0.0588235294117647</v>
      </c>
    </row>
    <row r="6" customFormat="false" ht="15" hidden="false" customHeight="false" outlineLevel="0" collapsed="false">
      <c r="A6" s="6" t="s">
        <v>739</v>
      </c>
      <c r="B6" s="9" t="n">
        <f aca="false">COUNTIFS(OCM_Raw_Data!$D$2:$D$1181,A6)</f>
        <v>30</v>
      </c>
      <c r="C6" s="6" t="n">
        <f aca="false">SUMIFS(OCM_Raw_Data!$H$2:$H$1181,OCM_Raw_Data!$D$2:$D$1181,A6)</f>
        <v>53</v>
      </c>
      <c r="D6" s="10" t="n">
        <f aca="false">IFERROR(AVERAGEIFS(OCM_Raw_Data!$I$2:$I$1181,OCM_Raw_Data!$D$2:$D$1181,A6),0)</f>
        <v>31.3333333333333</v>
      </c>
      <c r="E6" s="6" t="n">
        <f aca="false">COUNTIFS(OCM_Raw_Data!$D$2:$D$1181,A6,OCM_Raw_Data!$K$2:$K$1181,TRUE())</f>
        <v>8</v>
      </c>
      <c r="F6" s="11" t="n">
        <f aca="false">E6/B6</f>
        <v>0.266666666666667</v>
      </c>
    </row>
    <row r="7" customFormat="false" ht="15" hidden="false" customHeight="false" outlineLevel="0" collapsed="false">
      <c r="A7" s="6" t="s">
        <v>1456</v>
      </c>
      <c r="B7" s="9" t="n">
        <f aca="false">COUNTIFS(OCM_Raw_Data!$D$2:$D$1181,A7)</f>
        <v>27</v>
      </c>
      <c r="C7" s="6" t="n">
        <f aca="false">SUMIFS(OCM_Raw_Data!$H$2:$H$1181,OCM_Raw_Data!$D$2:$D$1181,A7)</f>
        <v>59</v>
      </c>
      <c r="D7" s="10" t="n">
        <f aca="false">IFERROR(AVERAGEIFS(OCM_Raw_Data!$I$2:$I$1181,OCM_Raw_Data!$D$2:$D$1181,A7),0)</f>
        <v>49.5185185185185</v>
      </c>
      <c r="E7" s="6" t="n">
        <f aca="false">COUNTIFS(OCM_Raw_Data!$D$2:$D$1181,A7,OCM_Raw_Data!$K$2:$K$1181,TRUE())</f>
        <v>11</v>
      </c>
      <c r="F7" s="11" t="n">
        <f aca="false">E7/B7</f>
        <v>0.407407407407407</v>
      </c>
    </row>
    <row r="8" customFormat="false" ht="15" hidden="false" customHeight="false" outlineLevel="0" collapsed="false">
      <c r="A8" s="6" t="s">
        <v>1471</v>
      </c>
      <c r="B8" s="9" t="n">
        <f aca="false">COUNTIFS(OCM_Raw_Data!$D$2:$D$1181,A8)</f>
        <v>23</v>
      </c>
      <c r="C8" s="6" t="n">
        <f aca="false">SUMIFS(OCM_Raw_Data!$H$2:$H$1181,OCM_Raw_Data!$D$2:$D$1181,A8)</f>
        <v>35</v>
      </c>
      <c r="D8" s="10" t="n">
        <f aca="false">IFERROR(AVERAGEIFS(OCM_Raw_Data!$I$2:$I$1181,OCM_Raw_Data!$D$2:$D$1181,A8),0)</f>
        <v>31.18</v>
      </c>
      <c r="E8" s="6" t="n">
        <f aca="false">COUNTIFS(OCM_Raw_Data!$D$2:$D$1181,A8,OCM_Raw_Data!$K$2:$K$1181,TRUE())</f>
        <v>3</v>
      </c>
      <c r="F8" s="11" t="n">
        <f aca="false">E8/B8</f>
        <v>0.130434782608696</v>
      </c>
    </row>
    <row r="9" customFormat="false" ht="15" hidden="false" customHeight="false" outlineLevel="0" collapsed="false">
      <c r="A9" s="6" t="s">
        <v>723</v>
      </c>
      <c r="B9" s="9" t="n">
        <f aca="false">COUNTIFS(OCM_Raw_Data!$D$2:$D$1181,A9)</f>
        <v>21</v>
      </c>
      <c r="C9" s="6" t="n">
        <f aca="false">SUMIFS(OCM_Raw_Data!$H$2:$H$1181,OCM_Raw_Data!$D$2:$D$1181,A9)</f>
        <v>37</v>
      </c>
      <c r="D9" s="10" t="n">
        <f aca="false">IFERROR(AVERAGEIFS(OCM_Raw_Data!$I$2:$I$1181,OCM_Raw_Data!$D$2:$D$1181,A9),0)</f>
        <v>52.425</v>
      </c>
      <c r="E9" s="6" t="n">
        <f aca="false">COUNTIFS(OCM_Raw_Data!$D$2:$D$1181,A9,OCM_Raw_Data!$K$2:$K$1181,TRUE())</f>
        <v>10</v>
      </c>
      <c r="F9" s="11" t="n">
        <f aca="false">E9/B9</f>
        <v>0.476190476190476</v>
      </c>
    </row>
    <row r="10" customFormat="false" ht="15" hidden="false" customHeight="false" outlineLevel="0" collapsed="false">
      <c r="A10" s="6" t="s">
        <v>72</v>
      </c>
      <c r="B10" s="9" t="n">
        <f aca="false">COUNTIFS(OCM_Raw_Data!$D$2:$D$1181,A10)</f>
        <v>16</v>
      </c>
      <c r="C10" s="6" t="n">
        <f aca="false">SUMIFS(OCM_Raw_Data!$H$2:$H$1181,OCM_Raw_Data!$D$2:$D$1181,A10)</f>
        <v>33</v>
      </c>
      <c r="D10" s="10" t="n">
        <f aca="false">IFERROR(AVERAGEIFS(OCM_Raw_Data!$I$2:$I$1181,OCM_Raw_Data!$D$2:$D$1181,A10),0)</f>
        <v>58.0714285714286</v>
      </c>
      <c r="E10" s="6" t="n">
        <f aca="false">COUNTIFS(OCM_Raw_Data!$D$2:$D$1181,A10,OCM_Raw_Data!$K$2:$K$1181,TRUE())</f>
        <v>10</v>
      </c>
      <c r="F10" s="11" t="n">
        <f aca="false">E10/B10</f>
        <v>0.625</v>
      </c>
    </row>
    <row r="11" customFormat="false" ht="15" hidden="false" customHeight="false" outlineLevel="0" collapsed="false">
      <c r="A11" s="6" t="s">
        <v>726</v>
      </c>
      <c r="B11" s="9" t="n">
        <f aca="false">COUNTIFS(OCM_Raw_Data!$D$2:$D$1181,A11)</f>
        <v>7</v>
      </c>
      <c r="C11" s="6" t="n">
        <f aca="false">SUMIFS(OCM_Raw_Data!$H$2:$H$1181,OCM_Raw_Data!$D$2:$D$1181,A11)</f>
        <v>8</v>
      </c>
      <c r="D11" s="10" t="n">
        <f aca="false">IFERROR(AVERAGEIFS(OCM_Raw_Data!$I$2:$I$1181,OCM_Raw_Data!$D$2:$D$1181,A11),0)</f>
        <v>49.0666666666667</v>
      </c>
      <c r="E11" s="6" t="n">
        <f aca="false">COUNTIFS(OCM_Raw_Data!$D$2:$D$1181,A11,OCM_Raw_Data!$K$2:$K$1181,TRUE())</f>
        <v>2</v>
      </c>
      <c r="F11" s="11" t="n">
        <f aca="false">E11/B11</f>
        <v>0.285714285714286</v>
      </c>
    </row>
    <row r="12" customFormat="false" ht="15" hidden="false" customHeight="false" outlineLevel="0" collapsed="false">
      <c r="A12" s="6" t="s">
        <v>1389</v>
      </c>
      <c r="B12" s="9" t="n">
        <f aca="false">COUNTIFS(OCM_Raw_Data!$D$2:$D$1181,A12)</f>
        <v>6</v>
      </c>
      <c r="C12" s="6" t="n">
        <f aca="false">SUMIFS(OCM_Raw_Data!$H$2:$H$1181,OCM_Raw_Data!$D$2:$D$1181,A12)</f>
        <v>6</v>
      </c>
      <c r="D12" s="10" t="n">
        <f aca="false">IFERROR(AVERAGEIFS(OCM_Raw_Data!$I$2:$I$1181,OCM_Raw_Data!$D$2:$D$1181,A12),0)</f>
        <v>50</v>
      </c>
      <c r="E12" s="6" t="n">
        <f aca="false">COUNTIFS(OCM_Raw_Data!$D$2:$D$1181,A12,OCM_Raw_Data!$K$2:$K$1181,TRUE())</f>
        <v>4</v>
      </c>
      <c r="F12" s="11" t="n">
        <f aca="false">E12/B12</f>
        <v>0.666666666666667</v>
      </c>
    </row>
    <row r="13" customFormat="false" ht="15" hidden="false" customHeight="false" outlineLevel="0" collapsed="false">
      <c r="A13" s="6" t="s">
        <v>42</v>
      </c>
      <c r="B13" s="9" t="n">
        <f aca="false">COUNTIFS(OCM_Raw_Data!$D$2:$D$1181,A13)</f>
        <v>6</v>
      </c>
      <c r="C13" s="6" t="n">
        <f aca="false">SUMIFS(OCM_Raw_Data!$H$2:$H$1181,OCM_Raw_Data!$D$2:$D$1181,A13)</f>
        <v>6</v>
      </c>
      <c r="D13" s="10" t="n">
        <f aca="false">IFERROR(AVERAGEIFS(OCM_Raw_Data!$I$2:$I$1181,OCM_Raw_Data!$D$2:$D$1181,A13),0)</f>
        <v>42</v>
      </c>
      <c r="E13" s="6" t="n">
        <f aca="false">COUNTIFS(OCM_Raw_Data!$D$2:$D$1181,A13,OCM_Raw_Data!$K$2:$K$1181,TRUE())</f>
        <v>2</v>
      </c>
      <c r="F13" s="11" t="n">
        <f aca="false">E13/B13</f>
        <v>0.333333333333333</v>
      </c>
    </row>
    <row r="14" customFormat="false" ht="15" hidden="false" customHeight="false" outlineLevel="0" collapsed="false">
      <c r="A14" s="6" t="s">
        <v>747</v>
      </c>
      <c r="B14" s="9" t="n">
        <f aca="false">COUNTIFS(OCM_Raw_Data!$D$2:$D$1181,A14)</f>
        <v>3</v>
      </c>
      <c r="C14" s="6" t="n">
        <f aca="false">SUMIFS(OCM_Raw_Data!$H$2:$H$1181,OCM_Raw_Data!$D$2:$D$1181,A14)</f>
        <v>4</v>
      </c>
      <c r="D14" s="10" t="n">
        <f aca="false">IFERROR(AVERAGEIFS(OCM_Raw_Data!$I$2:$I$1181,OCM_Raw_Data!$D$2:$D$1181,A14),0)</f>
        <v>70</v>
      </c>
      <c r="E14" s="6" t="n">
        <f aca="false">COUNTIFS(OCM_Raw_Data!$D$2:$D$1181,A14,OCM_Raw_Data!$K$2:$K$1181,TRUE())</f>
        <v>1</v>
      </c>
      <c r="F14" s="11" t="n">
        <f aca="false">E14/B14</f>
        <v>0.333333333333333</v>
      </c>
    </row>
    <row r="15" customFormat="false" ht="15" hidden="false" customHeight="false" outlineLevel="0" collapsed="false">
      <c r="A15" s="12" t="s">
        <v>1752</v>
      </c>
      <c r="B15" s="12" t="n">
        <f aca="false">SUM(B2:B14)</f>
        <v>1171</v>
      </c>
      <c r="C15" s="12" t="n">
        <f aca="false">SUM(C2:C14)</f>
        <v>2039</v>
      </c>
      <c r="D15" s="13" t="n">
        <f aca="false">AVERAGE(D2:D14)</f>
        <v>45.8944490709312</v>
      </c>
      <c r="E15" s="12" t="n">
        <f aca="false">SUM(E2:E14)</f>
        <v>444</v>
      </c>
      <c r="F15" s="14" t="n">
        <f aca="false">E15/B15</f>
        <v>0.379163108454313</v>
      </c>
    </row>
    <row r="17" customFormat="false" ht="15" hidden="false" customHeight="false" outlineLevel="0" collapsed="false">
      <c r="A17" s="8" t="s">
        <v>1753</v>
      </c>
    </row>
  </sheetData>
  <conditionalFormatting sqref="B2:B14">
    <cfRule type="dataBar" priority="2">
      <dataBar showValue="1" minLength="10" maxLength="90">
        <cfvo type="min" val="0"/>
        <cfvo type="max" val="0"/>
        <color rgb="FF638EC6"/>
      </dataBar>
      <extLst>
        <ext xmlns:x14="http://schemas.microsoft.com/office/spreadsheetml/2009/9/main" uri="{B025F937-C7B1-47D3-B67F-A62EFF666E3E}">
          <x14:id>{DF101930-4630-4020-8B8F-754C8420EB1C}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F101930-4630-4020-8B8F-754C8420EB1C}">
            <x14:dataBar minLength="10" maxLength="90" axisPosition="none" gradient="true">
              <x14:cfvo type="min"/>
              <x14:cfvo type="max"/>
              <x14:negativeFillColor rgb="FF638EC6"/>
              <x14:axisColor rgb="FF000000"/>
            </x14:dataBar>
          </x14:cfRule>
          <xm:sqref>B2:B14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6"/>
    <col collapsed="false" customWidth="true" hidden="false" outlineLevel="0" max="3" min="3" style="0" width="16"/>
    <col collapsed="false" customWidth="true" hidden="false" outlineLevel="0" max="4" min="4" style="0" width="20"/>
    <col collapsed="false" customWidth="true" hidden="false" outlineLevel="0" max="5" min="5" style="0" width="55"/>
  </cols>
  <sheetData>
    <row r="1" customFormat="false" ht="26.85" hidden="false" customHeight="false" outlineLevel="0" collapsed="false">
      <c r="A1" s="5" t="s">
        <v>1746</v>
      </c>
      <c r="B1" s="5" t="s">
        <v>1754</v>
      </c>
      <c r="C1" s="5" t="s">
        <v>1755</v>
      </c>
      <c r="D1" s="5" t="s">
        <v>1756</v>
      </c>
      <c r="E1" s="5" t="s">
        <v>1757</v>
      </c>
    </row>
    <row r="2" customFormat="false" ht="15" hidden="false" customHeight="false" outlineLevel="0" collapsed="false">
      <c r="A2" s="6" t="s">
        <v>34</v>
      </c>
      <c r="B2" s="15" t="n">
        <v>6097</v>
      </c>
      <c r="C2" s="6" t="n">
        <f aca="false">COUNTIFS(OCM_Raw_Data!$D$2:$D$1181,A2)</f>
        <v>362</v>
      </c>
      <c r="D2" s="11" t="n">
        <f aca="false">C2/B2</f>
        <v>0.059373462358537</v>
      </c>
      <c r="E2" s="16" t="s">
        <v>1758</v>
      </c>
    </row>
    <row r="3" customFormat="false" ht="15" hidden="false" customHeight="false" outlineLevel="0" collapsed="false">
      <c r="A3" s="6" t="s">
        <v>72</v>
      </c>
      <c r="B3" s="15" t="n">
        <v>4155</v>
      </c>
      <c r="C3" s="6" t="n">
        <f aca="false">COUNTIFS(OCM_Raw_Data!$D$2:$D$1181,A3)</f>
        <v>16</v>
      </c>
      <c r="D3" s="11" t="n">
        <f aca="false">C3/B3</f>
        <v>0.00385078219013237</v>
      </c>
      <c r="E3" s="16" t="s">
        <v>1758</v>
      </c>
    </row>
    <row r="4" customFormat="false" ht="15" hidden="false" customHeight="false" outlineLevel="0" collapsed="false">
      <c r="A4" s="6" t="s">
        <v>723</v>
      </c>
      <c r="B4" s="15" t="n">
        <v>2326</v>
      </c>
      <c r="C4" s="6" t="n">
        <f aca="false">COUNTIFS(OCM_Raw_Data!$D$2:$D$1181,A4)</f>
        <v>21</v>
      </c>
      <c r="D4" s="11" t="n">
        <f aca="false">C4/B4</f>
        <v>0.00902837489251935</v>
      </c>
      <c r="E4" s="16" t="s">
        <v>1759</v>
      </c>
    </row>
    <row r="5" customFormat="false" ht="15" hidden="false" customHeight="false" outlineLevel="0" collapsed="false">
      <c r="A5" s="6" t="s">
        <v>739</v>
      </c>
      <c r="B5" s="15" t="n">
        <v>1967</v>
      </c>
      <c r="C5" s="6" t="n">
        <f aca="false">COUNTIFS(OCM_Raw_Data!$D$2:$D$1181,A5)</f>
        <v>30</v>
      </c>
      <c r="D5" s="11" t="n">
        <f aca="false">C5/B5</f>
        <v>0.0152516522623284</v>
      </c>
      <c r="E5" s="16" t="s">
        <v>1758</v>
      </c>
    </row>
    <row r="6" customFormat="false" ht="15" hidden="false" customHeight="false" outlineLevel="0" collapsed="false">
      <c r="A6" s="6" t="s">
        <v>753</v>
      </c>
      <c r="B6" s="15" t="n">
        <v>1781</v>
      </c>
      <c r="C6" s="6" t="n">
        <f aca="false">COUNTIFS(OCM_Raw_Data!$D$2:$D$1181,A6)</f>
        <v>182</v>
      </c>
      <c r="D6" s="11" t="n">
        <f aca="false">C6/B6</f>
        <v>0.102189781021898</v>
      </c>
      <c r="E6" s="16" t="s">
        <v>1758</v>
      </c>
    </row>
    <row r="7" customFormat="false" ht="15" hidden="false" customHeight="false" outlineLevel="0" collapsed="false">
      <c r="A7" s="6" t="s">
        <v>1484</v>
      </c>
      <c r="B7" s="15" t="n">
        <v>1531</v>
      </c>
      <c r="C7" s="6" t="n">
        <f aca="false">COUNTIFS(OCM_Raw_Data!$D$2:$D$1181,A7)</f>
        <v>34</v>
      </c>
      <c r="D7" s="11" t="n">
        <f aca="false">C7/B7</f>
        <v>0.0222077073807969</v>
      </c>
      <c r="E7" s="16" t="s">
        <v>1758</v>
      </c>
    </row>
    <row r="8" customFormat="false" ht="15" hidden="false" customHeight="false" outlineLevel="0" collapsed="false">
      <c r="A8" s="6" t="s">
        <v>46</v>
      </c>
      <c r="B8" s="15" t="n">
        <v>1392</v>
      </c>
      <c r="C8" s="6" t="n">
        <f aca="false">COUNTIFS(OCM_Raw_Data!$D$2:$D$1181,A8)</f>
        <v>454</v>
      </c>
      <c r="D8" s="11" t="n">
        <f aca="false">C8/B8</f>
        <v>0.326149425287356</v>
      </c>
      <c r="E8" s="16" t="s">
        <v>1758</v>
      </c>
    </row>
    <row r="9" customFormat="false" ht="15" hidden="false" customHeight="false" outlineLevel="0" collapsed="false">
      <c r="A9" s="12" t="s">
        <v>1760</v>
      </c>
      <c r="B9" s="12" t="n">
        <f aca="false">SUM(B2:B8)</f>
        <v>19249</v>
      </c>
      <c r="C9" s="12" t="n">
        <f aca="false">SUM(C2:C8)</f>
        <v>1099</v>
      </c>
      <c r="D9" s="14" t="n">
        <f aca="false">C9/B9</f>
        <v>0.0570938750064938</v>
      </c>
    </row>
    <row r="11" customFormat="false" ht="15" hidden="false" customHeight="false" outlineLevel="0" collapsed="false">
      <c r="A11" s="12" t="s">
        <v>1761</v>
      </c>
    </row>
    <row r="12" customFormat="false" ht="15" hidden="false" customHeight="false" outlineLevel="0" collapsed="false">
      <c r="A12" s="17" t="s">
        <v>1762</v>
      </c>
      <c r="B12" s="18" t="n">
        <v>29277</v>
      </c>
    </row>
    <row r="13" customFormat="false" ht="15" hidden="false" customHeight="false" outlineLevel="0" collapsed="false">
      <c r="A13" s="17" t="s">
        <v>1763</v>
      </c>
      <c r="B13" s="17" t="n">
        <f aca="false">COUNTA(OCM_Raw_Data!A2:A1181)</f>
        <v>1179</v>
      </c>
    </row>
    <row r="14" customFormat="false" ht="15" hidden="false" customHeight="false" outlineLevel="0" collapsed="false">
      <c r="A14" s="17" t="s">
        <v>1764</v>
      </c>
      <c r="B14" s="19" t="n">
        <f aca="false">B13/B12</f>
        <v>0.0402705195204427</v>
      </c>
    </row>
    <row r="16" customFormat="false" ht="30" hidden="false" customHeight="true" outlineLevel="0" collapsed="false">
      <c r="A16" s="8" t="s">
        <v>1765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3" min="2" style="0" width="20"/>
    <col collapsed="false" customWidth="true" hidden="false" outlineLevel="0" max="4" min="4" style="0" width="18"/>
    <col collapsed="false" customWidth="true" hidden="false" outlineLevel="0" max="5" min="5" style="0" width="26"/>
    <col collapsed="false" customWidth="true" hidden="false" outlineLevel="0" max="6" min="6" style="0" width="16"/>
  </cols>
  <sheetData>
    <row r="1" customFormat="false" ht="26.85" hidden="false" customHeight="false" outlineLevel="0" collapsed="false">
      <c r="A1" s="5" t="s">
        <v>1746</v>
      </c>
      <c r="B1" s="5" t="s">
        <v>1766</v>
      </c>
      <c r="C1" s="5" t="s">
        <v>1767</v>
      </c>
      <c r="D1" s="5" t="s">
        <v>1768</v>
      </c>
      <c r="E1" s="5" t="s">
        <v>1769</v>
      </c>
      <c r="F1" s="5" t="s">
        <v>1770</v>
      </c>
    </row>
    <row r="2" customFormat="false" ht="15" hidden="false" customHeight="false" outlineLevel="0" collapsed="false">
      <c r="A2" s="6" t="s">
        <v>723</v>
      </c>
      <c r="B2" s="15" t="n">
        <v>2326</v>
      </c>
      <c r="C2" s="20" t="n">
        <v>400000</v>
      </c>
      <c r="D2" s="21" t="n">
        <v>0.18</v>
      </c>
      <c r="E2" s="22" t="n">
        <f aca="false">C2/B2</f>
        <v>171.969045571797</v>
      </c>
      <c r="F2" s="6" t="n">
        <f aca="false">RANK(E2,$E$2:$E$4,0)</f>
        <v>1</v>
      </c>
    </row>
    <row r="3" customFormat="false" ht="15" hidden="false" customHeight="false" outlineLevel="0" collapsed="false">
      <c r="A3" s="6" t="s">
        <v>72</v>
      </c>
      <c r="B3" s="15" t="n">
        <v>4155</v>
      </c>
      <c r="C3" s="20" t="n">
        <v>266000</v>
      </c>
      <c r="D3" s="21" t="n">
        <v>0.12</v>
      </c>
      <c r="E3" s="22" t="n">
        <f aca="false">C3/B3</f>
        <v>64.0192539109507</v>
      </c>
      <c r="F3" s="6" t="n">
        <f aca="false">RANK(E3,$E$2:$E$4,0)</f>
        <v>2</v>
      </c>
    </row>
    <row r="4" customFormat="false" ht="15" hidden="false" customHeight="false" outlineLevel="0" collapsed="false">
      <c r="A4" s="6" t="s">
        <v>34</v>
      </c>
      <c r="B4" s="15" t="n">
        <v>6097</v>
      </c>
      <c r="C4" s="20" t="n">
        <v>173000</v>
      </c>
      <c r="D4" s="23"/>
      <c r="E4" s="22" t="n">
        <f aca="false">C4/B4</f>
        <v>28.3746104641627</v>
      </c>
      <c r="F4" s="6" t="n">
        <f aca="false">RANK(E4,$E$2:$E$4,0)</f>
        <v>3</v>
      </c>
    </row>
    <row r="7" customFormat="false" ht="15" hidden="false" customHeight="false" outlineLevel="0" collapsed="false">
      <c r="A7" s="12" t="s">
        <v>1771</v>
      </c>
    </row>
    <row r="8" customFormat="false" ht="15" hidden="false" customHeight="false" outlineLevel="0" collapsed="false">
      <c r="A8" s="24" t="s">
        <v>1772</v>
      </c>
      <c r="B8" s="24"/>
      <c r="C8" s="24"/>
      <c r="D8" s="24"/>
      <c r="E8" s="24"/>
      <c r="F8" s="24"/>
    </row>
    <row r="9" customFormat="false" ht="15" hidden="false" customHeight="false" outlineLevel="0" collapsed="false">
      <c r="A9" s="24" t="s">
        <v>1773</v>
      </c>
      <c r="B9" s="24"/>
      <c r="C9" s="24"/>
      <c r="D9" s="24"/>
      <c r="E9" s="24"/>
      <c r="F9" s="24"/>
    </row>
    <row r="10" customFormat="false" ht="15" hidden="false" customHeight="false" outlineLevel="0" collapsed="false">
      <c r="A10" s="24" t="s">
        <v>1774</v>
      </c>
      <c r="B10" s="24"/>
      <c r="C10" s="24"/>
      <c r="D10" s="24"/>
      <c r="E10" s="24"/>
      <c r="F10" s="24"/>
    </row>
    <row r="13" customFormat="false" ht="15" hidden="false" customHeight="false" outlineLevel="0" collapsed="false">
      <c r="A13" s="12" t="s">
        <v>1775</v>
      </c>
    </row>
    <row r="14" customFormat="false" ht="15" hidden="false" customHeight="false" outlineLevel="0" collapsed="false">
      <c r="A14" s="17" t="s">
        <v>1776</v>
      </c>
      <c r="B14" s="25" t="n">
        <v>5675000</v>
      </c>
    </row>
    <row r="15" customFormat="false" ht="15" hidden="false" customHeight="false" outlineLevel="0" collapsed="false">
      <c r="A15" s="17" t="s">
        <v>1777</v>
      </c>
      <c r="B15" s="18" t="n">
        <v>29277</v>
      </c>
    </row>
    <row r="16" customFormat="false" ht="15" hidden="false" customHeight="false" outlineLevel="0" collapsed="false">
      <c r="A16" s="17" t="s">
        <v>1778</v>
      </c>
      <c r="B16" s="26" t="n">
        <f aca="false">B14/B15</f>
        <v>193.838166478806</v>
      </c>
    </row>
    <row r="18" customFormat="false" ht="30" hidden="false" customHeight="true" outlineLevel="0" collapsed="false">
      <c r="A18" s="27" t="s">
        <v>1779</v>
      </c>
      <c r="B18" s="27"/>
      <c r="C18" s="27"/>
      <c r="D18" s="27"/>
      <c r="E18" s="27"/>
      <c r="F18" s="27"/>
    </row>
  </sheetData>
  <mergeCells count="4">
    <mergeCell ref="A8:F8"/>
    <mergeCell ref="A9:F9"/>
    <mergeCell ref="A10:F10"/>
    <mergeCell ref="A18:F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6" min="2" style="0" width="20"/>
  </cols>
  <sheetData>
    <row r="1" customFormat="false" ht="16.15" hidden="false" customHeight="false" outlineLevel="0" collapsed="false">
      <c r="A1" s="28" t="s">
        <v>1780</v>
      </c>
    </row>
    <row r="3" customFormat="false" ht="18" hidden="false" customHeight="true" outlineLevel="0" collapsed="false">
      <c r="A3" s="29" t="s">
        <v>1781</v>
      </c>
      <c r="B3" s="29"/>
      <c r="C3" s="29"/>
      <c r="D3" s="29"/>
      <c r="E3" s="29"/>
      <c r="F3" s="29"/>
    </row>
    <row r="4" customFormat="false" ht="60" hidden="false" customHeight="true" outlineLevel="0" collapsed="false">
      <c r="A4" s="30" t="s">
        <v>1782</v>
      </c>
      <c r="B4" s="30"/>
      <c r="C4" s="30"/>
      <c r="D4" s="30"/>
      <c r="E4" s="30"/>
      <c r="F4" s="30"/>
    </row>
    <row r="6" customFormat="false" ht="18" hidden="false" customHeight="true" outlineLevel="0" collapsed="false">
      <c r="A6" s="29" t="s">
        <v>1783</v>
      </c>
      <c r="B6" s="29"/>
      <c r="C6" s="29"/>
      <c r="D6" s="29"/>
      <c r="E6" s="29"/>
      <c r="F6" s="29"/>
    </row>
    <row r="7" customFormat="false" ht="60" hidden="false" customHeight="true" outlineLevel="0" collapsed="false">
      <c r="A7" s="30" t="s">
        <v>1784</v>
      </c>
      <c r="B7" s="30"/>
      <c r="C7" s="30"/>
      <c r="D7" s="30"/>
      <c r="E7" s="30"/>
      <c r="F7" s="30"/>
    </row>
    <row r="9" customFormat="false" ht="18" hidden="false" customHeight="true" outlineLevel="0" collapsed="false">
      <c r="A9" s="29" t="s">
        <v>1785</v>
      </c>
      <c r="B9" s="29"/>
      <c r="C9" s="29"/>
      <c r="D9" s="29"/>
      <c r="E9" s="29"/>
      <c r="F9" s="29"/>
    </row>
    <row r="10" customFormat="false" ht="60" hidden="false" customHeight="true" outlineLevel="0" collapsed="false">
      <c r="A10" s="30" t="s">
        <v>1786</v>
      </c>
      <c r="B10" s="30"/>
      <c r="C10" s="30"/>
      <c r="D10" s="30"/>
      <c r="E10" s="30"/>
      <c r="F10" s="30"/>
    </row>
    <row r="12" customFormat="false" ht="18" hidden="false" customHeight="true" outlineLevel="0" collapsed="false">
      <c r="A12" s="29" t="s">
        <v>1787</v>
      </c>
      <c r="B12" s="29"/>
      <c r="C12" s="29"/>
      <c r="D12" s="29"/>
      <c r="E12" s="29"/>
      <c r="F12" s="29"/>
    </row>
    <row r="13" customFormat="false" ht="60" hidden="false" customHeight="true" outlineLevel="0" collapsed="false">
      <c r="A13" s="30" t="s">
        <v>1788</v>
      </c>
      <c r="B13" s="30"/>
      <c r="C13" s="30"/>
      <c r="D13" s="30"/>
      <c r="E13" s="30"/>
      <c r="F13" s="30"/>
    </row>
    <row r="15" customFormat="false" ht="18" hidden="false" customHeight="true" outlineLevel="0" collapsed="false">
      <c r="A15" s="29" t="s">
        <v>1789</v>
      </c>
      <c r="B15" s="29"/>
      <c r="C15" s="29"/>
      <c r="D15" s="29"/>
      <c r="E15" s="29"/>
      <c r="F15" s="29"/>
    </row>
    <row r="16" customFormat="false" ht="60" hidden="false" customHeight="true" outlineLevel="0" collapsed="false">
      <c r="A16" s="30" t="s">
        <v>1790</v>
      </c>
      <c r="B16" s="30"/>
      <c r="C16" s="30"/>
      <c r="D16" s="30"/>
      <c r="E16" s="30"/>
      <c r="F16" s="30"/>
    </row>
  </sheetData>
  <mergeCells count="10">
    <mergeCell ref="A3:F3"/>
    <mergeCell ref="A4:F4"/>
    <mergeCell ref="A6:F6"/>
    <mergeCell ref="A7:F7"/>
    <mergeCell ref="A9:F9"/>
    <mergeCell ref="A10:F10"/>
    <mergeCell ref="A12:F12"/>
    <mergeCell ref="A13:F13"/>
    <mergeCell ref="A15:F15"/>
    <mergeCell ref="A16:F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2026-07-19T04:41:34Z</dcterms:created>
  <dc:creator>openpyxl</dc:creator>
  <dc:description/>
  <dc:language>en-US</dc:language>
  <cp:lastModifiedBy/>
  <dcterms:modified xsi:type="dcterms:W3CDTF">2026-07-19T04:43:39Z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